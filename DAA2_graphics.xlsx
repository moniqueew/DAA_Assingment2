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xr:revisionPtr revIDLastSave="0" documentId="8_{FB54AE9C-8AD8-4AFF-A513-15B9C8706AE8}" xr6:coauthVersionLast="47" xr6:coauthVersionMax="47" xr10:uidLastSave="{00000000-0000-0000-0000-000000000000}"/>
  <bookViews>
    <workbookView xWindow="0" yWindow="0" windowWidth="16384" windowHeight="8192" tabRatio="500" activeTab="9" xr2:uid="{00000000-000D-0000-FFFF-FFFF00000000}"/>
  </bookViews>
  <sheets>
    <sheet name="RawData" sheetId="2" r:id="rId1"/>
    <sheet name="ChartData" sheetId="3" r:id="rId2"/>
    <sheet name="w1_time" sheetId="4" r:id="rId3"/>
    <sheet name="w1_metrics" sheetId="5" r:id="rId4"/>
    <sheet name="w2_time" sheetId="6" r:id="rId5"/>
    <sheet name="w2_metrics" sheetId="7" r:id="rId6"/>
    <sheet name="w3_head_time" sheetId="8" r:id="rId7"/>
    <sheet name="w3_head_metrics" sheetId="9" r:id="rId8"/>
    <sheet name="w3_middle_time" sheetId="10" r:id="rId9"/>
    <sheet name="w3_middle_metrics" sheetId="11" r:id="rId10"/>
    <sheet name="w4_time" sheetId="12" r:id="rId11"/>
    <sheet name="w4_metrics" sheetId="13" r:id="rId1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5" i="3"/>
  <c r="C4" i="3"/>
  <c r="D82" i="3"/>
  <c r="C82" i="3"/>
  <c r="B82" i="3"/>
  <c r="D81" i="3"/>
  <c r="C81" i="3"/>
  <c r="B81" i="3"/>
  <c r="D80" i="3"/>
  <c r="C80" i="3"/>
  <c r="B80" i="3"/>
  <c r="D79" i="3"/>
  <c r="C79" i="3"/>
  <c r="B79" i="3"/>
  <c r="B74" i="3"/>
  <c r="B73" i="3"/>
  <c r="B72" i="3"/>
  <c r="B71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C57" i="3"/>
  <c r="B57" i="3"/>
  <c r="C56" i="3"/>
  <c r="B56" i="3"/>
  <c r="C55" i="3"/>
  <c r="B55" i="3"/>
  <c r="C54" i="3"/>
  <c r="B54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C40" i="3"/>
  <c r="B40" i="3"/>
  <c r="C39" i="3"/>
  <c r="B39" i="3"/>
  <c r="C38" i="3"/>
  <c r="B38" i="3"/>
  <c r="C37" i="3"/>
  <c r="B37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C23" i="3"/>
  <c r="B23" i="3"/>
  <c r="C22" i="3"/>
  <c r="B22" i="3"/>
  <c r="C21" i="3"/>
  <c r="B21" i="3"/>
  <c r="C20" i="3"/>
  <c r="B20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C6" i="3"/>
  <c r="B6" i="3"/>
  <c r="B5" i="3"/>
  <c r="B4" i="3"/>
  <c r="B3" i="3"/>
</calcChain>
</file>

<file path=xl/sharedStrings.xml><?xml version="1.0" encoding="utf-8"?>
<sst xmlns="http://schemas.openxmlformats.org/spreadsheetml/2006/main" count="184" uniqueCount="37">
  <si>
    <t>workload</t>
  </si>
  <si>
    <t>variant</t>
  </si>
  <si>
    <t>structure</t>
  </si>
  <si>
    <t>n</t>
  </si>
  <si>
    <t>time_ms</t>
  </si>
  <si>
    <t>steps</t>
  </si>
  <si>
    <t>moves</t>
  </si>
  <si>
    <t>comparisons</t>
  </si>
  <si>
    <t>W1</t>
  </si>
  <si>
    <t>-</t>
  </si>
  <si>
    <t>DynamicArray</t>
  </si>
  <si>
    <t>LinkedList</t>
  </si>
  <si>
    <t>W2</t>
  </si>
  <si>
    <t>W3</t>
  </si>
  <si>
    <t>head</t>
  </si>
  <si>
    <t>middle</t>
  </si>
  <si>
    <t>W4</t>
  </si>
  <si>
    <t>MinHeap</t>
  </si>
  <si>
    <t>W1 Random Access — Time (ms)</t>
  </si>
  <si>
    <t>W1 Random Access — Steps / Moves / Comparisons</t>
  </si>
  <si>
    <t>DynamicArray-steps</t>
  </si>
  <si>
    <t>DynamicArray-moves</t>
  </si>
  <si>
    <t>DynamicArray-comparisons</t>
  </si>
  <si>
    <t>LinkedList-steps</t>
  </si>
  <si>
    <t>LinkedList-moves</t>
  </si>
  <si>
    <t>LinkedList-comparisons</t>
  </si>
  <si>
    <t>W2 Search — Time (ms)</t>
  </si>
  <si>
    <t>W2 Search — Steps / Moves / Comparisons</t>
  </si>
  <si>
    <t>W3 Insert&amp;Remove (head) — Time (ms)</t>
  </si>
  <si>
    <t>W3 Insert&amp;Remove (head) — Steps / Moves / Comparisons</t>
  </si>
  <si>
    <t>W3 Insert&amp;Remove (middle) — Time (ms)</t>
  </si>
  <si>
    <t>W3 Insert&amp;Remove (middle) — Steps / Moves / Comparisons</t>
  </si>
  <si>
    <t>W4 Priority Processing — Time (ms)</t>
  </si>
  <si>
    <t>W4 Priority Processing — Steps / Moves / Comparisons</t>
  </si>
  <si>
    <t>MinHeap-steps</t>
  </si>
  <si>
    <t>MinHeap-moves</t>
  </si>
  <si>
    <t>MinHeap-comparisons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</si>
</sst>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Calibri"/>
      <family val="2"/>
      <charset val="1"/>
    </font>
    <font>
      <b/>
      <sz val="13"/>
      <name val="Calibri"/>
      <charset val="1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1F77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2" fillId="2" borderId="0" xfId="0" applyFont="1" applyFill="1"/>
    <xf numFmtId="164" fontId="0" fillId="0" borderId="1" xfId="0" applyNumberFormat="1" applyBorder="1"/>
    <xf numFmtId="0" fontId="2" fillId="2" borderId="0" xfId="0" applyFont="1" applyFill="1" applyAlignment="1">
      <alignment horizontal="center" textRotation="45"/>
    </xf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7F0E"/>
      <rgbColor rgb="FF666699"/>
      <rgbColor rgb="FF969696"/>
      <rgbColor rgb="FF003366"/>
      <rgbColor rgb="FF2CA02C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W1 Random Access — Time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"DynamicArray"</c:f>
              <c:strCache>
                <c:ptCount val="1"/>
                <c:pt idx="0">
                  <c:v>DynamicArray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ChartData!$A$3:$A$6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ChartData!$B$3:$B$6</c:f>
              <c:numCache>
                <c:formatCode>0.0000</c:formatCode>
                <c:ptCount val="4"/>
                <c:pt idx="0">
                  <c:v>0.69840000000000002</c:v>
                </c:pt>
                <c:pt idx="1">
                  <c:v>0.1164</c:v>
                </c:pt>
                <c:pt idx="2">
                  <c:v>0.15379999999999999</c:v>
                </c:pt>
                <c:pt idx="3">
                  <c:v>0.1409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7E-4A24-847D-F57AF3C53775}"/>
            </c:ext>
          </c:extLst>
        </c:ser>
        <c:ser>
          <c:idx val="1"/>
          <c:order val="1"/>
          <c:tx>
            <c:strRef>
              <c:f>"MyLinkedList"</c:f>
              <c:strCache>
                <c:ptCount val="1"/>
                <c:pt idx="0">
                  <c:v>MyLinkedList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ChartData!$A$3:$A$6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ChartData!$C$3:$C$6</c:f>
              <c:numCache>
                <c:formatCode>0.0000</c:formatCode>
                <c:ptCount val="4"/>
                <c:pt idx="0">
                  <c:v>2.3258000000000001</c:v>
                </c:pt>
                <c:pt idx="1">
                  <c:v>5.0848000000000004</c:v>
                </c:pt>
                <c:pt idx="2">
                  <c:v>56.677500000000002</c:v>
                </c:pt>
                <c:pt idx="3">
                  <c:v>663.56359999999995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7E-4A24-847D-F57AF3C5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21038"/>
        <c:axId val="68177475"/>
      </c:scatterChart>
      <c:valAx>
        <c:axId val="29221038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77475"/>
        <c:crosses val="autoZero"/>
        <c:crossBetween val="midCat"/>
      </c:valAx>
      <c:valAx>
        <c:axId val="6817747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time, ms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221038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W1 Random Access — Steps/Moves/Comparisons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"DynamicArray-steps"</c:f>
              <c:strCache>
                <c:ptCount val="1"/>
                <c:pt idx="0">
                  <c:v>DynamicArray-steps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ChartData!$A$11:$A$14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ChartData!$B$11:$B$14</c:f>
              <c:numCache>
                <c:formatCode>0</c:formatCode>
                <c:ptCount val="4"/>
                <c:pt idx="0">
                  <c:v>20000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3-4954-9CA6-BEB24C3D7FD3}"/>
            </c:ext>
          </c:extLst>
        </c:ser>
        <c:ser>
          <c:idx val="1"/>
          <c:order val="1"/>
          <c:tx>
            <c:strRef>
              <c:f>"DynamicArray-moves"</c:f>
              <c:strCache>
                <c:ptCount val="1"/>
                <c:pt idx="0">
                  <c:v>DynamicArray-moves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ChartData!$A$11:$A$14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ChartData!$C$11:$C$14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33-4954-9CA6-BEB24C3D7FD3}"/>
            </c:ext>
          </c:extLst>
        </c:ser>
        <c:ser>
          <c:idx val="2"/>
          <c:order val="2"/>
          <c:tx>
            <c:strRef>
              <c:f>"DynamicArray-comparisons"</c:f>
              <c:strCache>
                <c:ptCount val="1"/>
                <c:pt idx="0">
                  <c:v>DynamicArray-comparisons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ChartData!$A$11:$A$14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ChartData!$D$11:$D$14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3-4954-9CA6-BEB24C3D7FD3}"/>
            </c:ext>
          </c:extLst>
        </c:ser>
        <c:ser>
          <c:idx val="3"/>
          <c:order val="3"/>
          <c:tx>
            <c:strRef>
              <c:f>"MyLinkedList-steps"</c:f>
              <c:strCache>
                <c:ptCount val="1"/>
                <c:pt idx="0">
                  <c:v>MyLinkedList-steps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ChartData!$A$11:$A$14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ChartData!$E$11:$E$14</c:f>
              <c:numCache>
                <c:formatCode>0</c:formatCode>
                <c:ptCount val="4"/>
                <c:pt idx="0">
                  <c:v>1004136</c:v>
                </c:pt>
                <c:pt idx="1">
                  <c:v>4953268</c:v>
                </c:pt>
                <c:pt idx="2">
                  <c:v>49618268</c:v>
                </c:pt>
                <c:pt idx="3">
                  <c:v>493288268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33-4954-9CA6-BEB24C3D7FD3}"/>
            </c:ext>
          </c:extLst>
        </c:ser>
        <c:ser>
          <c:idx val="4"/>
          <c:order val="4"/>
          <c:tx>
            <c:strRef>
              <c:f>"MyLinkedList-moves"</c:f>
              <c:strCache>
                <c:ptCount val="1"/>
                <c:pt idx="0">
                  <c:v>MyLinkedList-moves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ChartData!$A$11:$A$14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ChartData!$F$11:$F$14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33-4954-9CA6-BEB24C3D7FD3}"/>
            </c:ext>
          </c:extLst>
        </c:ser>
        <c:ser>
          <c:idx val="5"/>
          <c:order val="5"/>
          <c:tx>
            <c:strRef>
              <c:f>"MyLinkedList-comparisons"</c:f>
              <c:strCache>
                <c:ptCount val="1"/>
                <c:pt idx="0">
                  <c:v>MyLinkedList-comparisons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ChartData!$A$11:$A$14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ChartData!$G$11:$G$14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33-4954-9CA6-BEB24C3D7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12843"/>
        <c:axId val="62511658"/>
      </c:scatterChart>
      <c:valAx>
        <c:axId val="71312843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511658"/>
        <c:crosses val="autoZero"/>
        <c:crossBetween val="midCat"/>
      </c:valAx>
      <c:valAx>
        <c:axId val="6251165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312843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W2 Search — Time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"DynamicArray"</c:f>
              <c:strCache>
                <c:ptCount val="1"/>
                <c:pt idx="0">
                  <c:v>DynamicArray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ChartData!$A$20:$A$23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ChartData!$B$20:$B$23</c:f>
              <c:numCache>
                <c:formatCode>0.0000</c:formatCode>
                <c:ptCount val="4"/>
                <c:pt idx="0">
                  <c:v>0.65549999999999997</c:v>
                </c:pt>
                <c:pt idx="1">
                  <c:v>0.24529999999999999</c:v>
                </c:pt>
                <c:pt idx="2">
                  <c:v>2.1791999999999998</c:v>
                </c:pt>
                <c:pt idx="3">
                  <c:v>22.34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80-4A73-89FB-2BE0EF304E92}"/>
            </c:ext>
          </c:extLst>
        </c:ser>
        <c:ser>
          <c:idx val="1"/>
          <c:order val="1"/>
          <c:tx>
            <c:strRef>
              <c:f>"MyLinkedList"</c:f>
              <c:strCache>
                <c:ptCount val="1"/>
                <c:pt idx="0">
                  <c:v>MyLinkedList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ChartData!$A$20:$A$23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ChartData!$C$20:$C$23</c:f>
              <c:numCache>
                <c:formatCode>0.0000</c:formatCode>
                <c:ptCount val="4"/>
                <c:pt idx="0">
                  <c:v>1.7762</c:v>
                </c:pt>
                <c:pt idx="1">
                  <c:v>1.1193</c:v>
                </c:pt>
                <c:pt idx="2">
                  <c:v>12.1647</c:v>
                </c:pt>
                <c:pt idx="3">
                  <c:v>167.3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80-4A73-89FB-2BE0EF304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29352"/>
        <c:axId val="91202347"/>
      </c:scatterChart>
      <c:valAx>
        <c:axId val="21029352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02347"/>
        <c:crosses val="autoZero"/>
        <c:crossBetween val="midCat"/>
      </c:valAx>
      <c:valAx>
        <c:axId val="9120234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time, ms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29352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W2 Search — Steps/Moves/Comparisons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"DynamicArray-steps"</c:f>
              <c:strCache>
                <c:ptCount val="1"/>
                <c:pt idx="0">
                  <c:v>DynamicArray-steps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ChartData!$A$28:$A$31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ChartData!$B$28:$B$31</c:f>
              <c:numCache>
                <c:formatCode>0</c:formatCode>
                <c:ptCount val="4"/>
                <c:pt idx="0">
                  <c:v>150476</c:v>
                </c:pt>
                <c:pt idx="1">
                  <c:v>757638</c:v>
                </c:pt>
                <c:pt idx="2">
                  <c:v>7489792</c:v>
                </c:pt>
                <c:pt idx="3">
                  <c:v>74253877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89-48BC-92CB-C107F542F10C}"/>
            </c:ext>
          </c:extLst>
        </c:ser>
        <c:ser>
          <c:idx val="1"/>
          <c:order val="1"/>
          <c:tx>
            <c:strRef>
              <c:f>"DynamicArray-moves"</c:f>
              <c:strCache>
                <c:ptCount val="1"/>
                <c:pt idx="0">
                  <c:v>DynamicArray-moves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ChartData!$A$28:$A$31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ChartData!$C$28:$C$31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89-48BC-92CB-C107F542F10C}"/>
            </c:ext>
          </c:extLst>
        </c:ser>
        <c:ser>
          <c:idx val="2"/>
          <c:order val="2"/>
          <c:tx>
            <c:strRef>
              <c:f>"DynamicArray-comparisons"</c:f>
              <c:strCache>
                <c:ptCount val="1"/>
                <c:pt idx="0">
                  <c:v>DynamicArray-comparisons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ChartData!$A$28:$A$31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ChartData!$D$28:$D$31</c:f>
              <c:numCache>
                <c:formatCode>0</c:formatCode>
                <c:ptCount val="4"/>
                <c:pt idx="0">
                  <c:v>150476</c:v>
                </c:pt>
                <c:pt idx="1">
                  <c:v>757638</c:v>
                </c:pt>
                <c:pt idx="2">
                  <c:v>7489792</c:v>
                </c:pt>
                <c:pt idx="3">
                  <c:v>74253877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89-48BC-92CB-C107F542F10C}"/>
            </c:ext>
          </c:extLst>
        </c:ser>
        <c:ser>
          <c:idx val="3"/>
          <c:order val="3"/>
          <c:tx>
            <c:strRef>
              <c:f>"MyLinkedList-steps"</c:f>
              <c:strCache>
                <c:ptCount val="1"/>
                <c:pt idx="0">
                  <c:v>MyLinkedList-steps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ChartData!$A$28:$A$31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ChartData!$E$28:$E$31</c:f>
              <c:numCache>
                <c:formatCode>0</c:formatCode>
                <c:ptCount val="4"/>
                <c:pt idx="0">
                  <c:v>150476</c:v>
                </c:pt>
                <c:pt idx="1">
                  <c:v>757638</c:v>
                </c:pt>
                <c:pt idx="2">
                  <c:v>7489792</c:v>
                </c:pt>
                <c:pt idx="3">
                  <c:v>74253877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89-48BC-92CB-C107F542F10C}"/>
            </c:ext>
          </c:extLst>
        </c:ser>
        <c:ser>
          <c:idx val="4"/>
          <c:order val="4"/>
          <c:tx>
            <c:strRef>
              <c:f>"MyLinkedList-moves"</c:f>
              <c:strCache>
                <c:ptCount val="1"/>
                <c:pt idx="0">
                  <c:v>MyLinkedList-moves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ChartData!$A$28:$A$31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ChartData!$F$28:$F$31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89-48BC-92CB-C107F542F10C}"/>
            </c:ext>
          </c:extLst>
        </c:ser>
        <c:ser>
          <c:idx val="5"/>
          <c:order val="5"/>
          <c:tx>
            <c:strRef>
              <c:f>"MyLinkedList-comparisons"</c:f>
              <c:strCache>
                <c:ptCount val="1"/>
                <c:pt idx="0">
                  <c:v>MyLinkedList-comparisons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ChartData!$A$28:$A$31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ChartData!$G$28:$G$31</c:f>
              <c:numCache>
                <c:formatCode>0</c:formatCode>
                <c:ptCount val="4"/>
                <c:pt idx="0">
                  <c:v>150476</c:v>
                </c:pt>
                <c:pt idx="1">
                  <c:v>757638</c:v>
                </c:pt>
                <c:pt idx="2">
                  <c:v>7489792</c:v>
                </c:pt>
                <c:pt idx="3">
                  <c:v>74253877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89-48BC-92CB-C107F542F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96284"/>
        <c:axId val="91037249"/>
      </c:scatterChart>
      <c:valAx>
        <c:axId val="50296284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37249"/>
        <c:crosses val="autoZero"/>
        <c:crossBetween val="midCat"/>
      </c:valAx>
      <c:valAx>
        <c:axId val="9103724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296284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W3 Insert&amp;Remove (head) — Time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"DynamicArray"</c:f>
              <c:strCache>
                <c:ptCount val="1"/>
                <c:pt idx="0">
                  <c:v>DynamicArray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ChartData!$A$37:$A$40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ChartData!$B$37:$B$40</c:f>
              <c:numCache>
                <c:formatCode>0.0000</c:formatCode>
                <c:ptCount val="4"/>
                <c:pt idx="0">
                  <c:v>3.7067000000000001</c:v>
                </c:pt>
                <c:pt idx="1">
                  <c:v>0.1724</c:v>
                </c:pt>
                <c:pt idx="2">
                  <c:v>0.8478</c:v>
                </c:pt>
                <c:pt idx="3">
                  <c:v>11.1044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F-4814-90AF-F34606151494}"/>
            </c:ext>
          </c:extLst>
        </c:ser>
        <c:ser>
          <c:idx val="1"/>
          <c:order val="1"/>
          <c:tx>
            <c:strRef>
              <c:f>"MyLinkedList"</c:f>
              <c:strCache>
                <c:ptCount val="1"/>
                <c:pt idx="0">
                  <c:v>MyLinkedList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ChartData!$A$37:$A$40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ChartData!$C$37:$C$40</c:f>
              <c:numCache>
                <c:formatCode>0.0000</c:formatCode>
                <c:ptCount val="4"/>
                <c:pt idx="0">
                  <c:v>0.1133</c:v>
                </c:pt>
                <c:pt idx="1">
                  <c:v>2.5899999999999999E-2</c:v>
                </c:pt>
                <c:pt idx="2">
                  <c:v>3.95E-2</c:v>
                </c:pt>
                <c:pt idx="3">
                  <c:v>4.6300000000000001E-2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F-4814-90AF-F34606151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32081"/>
        <c:axId val="52591417"/>
      </c:scatterChart>
      <c:valAx>
        <c:axId val="74232081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91417"/>
        <c:crosses val="autoZero"/>
        <c:crossBetween val="midCat"/>
      </c:valAx>
      <c:valAx>
        <c:axId val="5259141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time, ms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232081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W3 Insert&amp;Remove (head) — Steps/Moves/Comparisons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"DynamicArray-steps"</c:f>
              <c:strCache>
                <c:ptCount val="1"/>
                <c:pt idx="0">
                  <c:v>DynamicArray-steps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ChartData!$A$45:$A$48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ChartData!$B$45:$B$48</c:f>
              <c:numCache>
                <c:formatCode>0</c:formatCode>
                <c:ptCount val="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F-499A-9F77-7250D165DCF0}"/>
            </c:ext>
          </c:extLst>
        </c:ser>
        <c:ser>
          <c:idx val="1"/>
          <c:order val="1"/>
          <c:tx>
            <c:strRef>
              <c:f>"DynamicArray-moves"</c:f>
              <c:strCache>
                <c:ptCount val="1"/>
                <c:pt idx="0">
                  <c:v>DynamicArray-moves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ChartData!$A$45:$A$48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ChartData!$C$45:$C$48</c:f>
              <c:numCache>
                <c:formatCode>0</c:formatCode>
                <c:ptCount val="4"/>
                <c:pt idx="0">
                  <c:v>1201920</c:v>
                </c:pt>
                <c:pt idx="1">
                  <c:v>3001024</c:v>
                </c:pt>
                <c:pt idx="2">
                  <c:v>21000000</c:v>
                </c:pt>
                <c:pt idx="3">
                  <c:v>201000000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6F-499A-9F77-7250D165DCF0}"/>
            </c:ext>
          </c:extLst>
        </c:ser>
        <c:ser>
          <c:idx val="2"/>
          <c:order val="2"/>
          <c:tx>
            <c:strRef>
              <c:f>"DynamicArray-comparisons"</c:f>
              <c:strCache>
                <c:ptCount val="1"/>
                <c:pt idx="0">
                  <c:v>DynamicArray-comparisons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ChartData!$A$45:$A$48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ChartData!$D$45:$D$48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6F-499A-9F77-7250D165DCF0}"/>
            </c:ext>
          </c:extLst>
        </c:ser>
        <c:ser>
          <c:idx val="3"/>
          <c:order val="3"/>
          <c:tx>
            <c:strRef>
              <c:f>"MyLinkedList-steps"</c:f>
              <c:strCache>
                <c:ptCount val="1"/>
                <c:pt idx="0">
                  <c:v>MyLinkedList-steps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ChartData!$A$45:$A$48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ChartData!$E$45:$E$48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6F-499A-9F77-7250D165DCF0}"/>
            </c:ext>
          </c:extLst>
        </c:ser>
        <c:ser>
          <c:idx val="4"/>
          <c:order val="4"/>
          <c:tx>
            <c:strRef>
              <c:f>"MyLinkedList-moves"</c:f>
              <c:strCache>
                <c:ptCount val="1"/>
                <c:pt idx="0">
                  <c:v>MyLinkedList-moves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ChartData!$A$45:$A$48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ChartData!$F$45:$F$48</c:f>
              <c:numCache>
                <c:formatCode>0</c:formatCode>
                <c:ptCount val="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6F-499A-9F77-7250D165DCF0}"/>
            </c:ext>
          </c:extLst>
        </c:ser>
        <c:ser>
          <c:idx val="5"/>
          <c:order val="5"/>
          <c:tx>
            <c:strRef>
              <c:f>"MyLinkedList-comparisons"</c:f>
              <c:strCache>
                <c:ptCount val="1"/>
                <c:pt idx="0">
                  <c:v>MyLinkedList-comparisons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ChartData!$A$45:$A$48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ChartData!$G$45:$G$48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6F-499A-9F77-7250D165D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1474"/>
        <c:axId val="1600317"/>
      </c:scatterChart>
      <c:valAx>
        <c:axId val="10171474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00317"/>
        <c:crosses val="autoZero"/>
        <c:crossBetween val="midCat"/>
      </c:valAx>
      <c:valAx>
        <c:axId val="160031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171474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W3 Insert&amp;Remove (middle) — Time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"DynamicArray"</c:f>
              <c:strCache>
                <c:ptCount val="1"/>
                <c:pt idx="0">
                  <c:v>DynamicArray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ChartData!$A$54:$A$57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ChartData!$B$54:$B$57</c:f>
              <c:numCache>
                <c:formatCode>0.0000</c:formatCode>
                <c:ptCount val="4"/>
                <c:pt idx="0">
                  <c:v>0.1148</c:v>
                </c:pt>
                <c:pt idx="1">
                  <c:v>0.1288</c:v>
                </c:pt>
                <c:pt idx="2">
                  <c:v>0.45989999999999998</c:v>
                </c:pt>
                <c:pt idx="3">
                  <c:v>5.5598999999999998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81-465C-A273-A9B7A4676A1E}"/>
            </c:ext>
          </c:extLst>
        </c:ser>
        <c:ser>
          <c:idx val="1"/>
          <c:order val="1"/>
          <c:tx>
            <c:strRef>
              <c:f>"MyLinkedList"</c:f>
              <c:strCache>
                <c:ptCount val="1"/>
                <c:pt idx="0">
                  <c:v>MyLinkedList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ChartData!$A$54:$A$57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ChartData!$C$54:$C$57</c:f>
              <c:numCache>
                <c:formatCode>0.0000</c:formatCode>
                <c:ptCount val="4"/>
                <c:pt idx="0">
                  <c:v>0.15379999999999999</c:v>
                </c:pt>
                <c:pt idx="1">
                  <c:v>1.1145</c:v>
                </c:pt>
                <c:pt idx="2">
                  <c:v>11.4701</c:v>
                </c:pt>
                <c:pt idx="3">
                  <c:v>141.5581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81-465C-A273-A9B7A4676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96252"/>
        <c:axId val="41007118"/>
      </c:scatterChart>
      <c:valAx>
        <c:axId val="82996252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07118"/>
        <c:crosses val="autoZero"/>
        <c:crossBetween val="midCat"/>
      </c:valAx>
      <c:valAx>
        <c:axId val="4100711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time, ms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996252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W3 Insert&amp;Remove (middle) — Steps/Moves/Comparisons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"DynamicArray-steps"</c:f>
              <c:strCache>
                <c:ptCount val="1"/>
                <c:pt idx="0">
                  <c:v>DynamicArray-steps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ChartData!$A$62:$A$65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ChartData!$B$62:$B$65</c:f>
              <c:numCache>
                <c:formatCode>0</c:formatCode>
                <c:ptCount val="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2-4A86-8E2C-174035AF8898}"/>
            </c:ext>
          </c:extLst>
        </c:ser>
        <c:ser>
          <c:idx val="1"/>
          <c:order val="1"/>
          <c:tx>
            <c:strRef>
              <c:f>"DynamicArray-moves"</c:f>
              <c:strCache>
                <c:ptCount val="1"/>
                <c:pt idx="0">
                  <c:v>DynamicArray-moves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ChartData!$A$62:$A$65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ChartData!$C$62:$C$65</c:f>
              <c:numCache>
                <c:formatCode>0</c:formatCode>
                <c:ptCount val="4"/>
                <c:pt idx="0">
                  <c:v>1101920</c:v>
                </c:pt>
                <c:pt idx="1">
                  <c:v>2001024</c:v>
                </c:pt>
                <c:pt idx="2">
                  <c:v>11000000</c:v>
                </c:pt>
                <c:pt idx="3">
                  <c:v>101000000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2-4A86-8E2C-174035AF8898}"/>
            </c:ext>
          </c:extLst>
        </c:ser>
        <c:ser>
          <c:idx val="2"/>
          <c:order val="2"/>
          <c:tx>
            <c:strRef>
              <c:f>"DynamicArray-comparisons"</c:f>
              <c:strCache>
                <c:ptCount val="1"/>
                <c:pt idx="0">
                  <c:v>DynamicArray-comparisons</c:v>
                </c:pt>
              </c:strCache>
            </c:strRef>
          </c:tx>
          <c:spPr>
            <a:ln w="20160">
              <a:solidFill>
                <a:srgbClr val="1F77B4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prstDash val="solid"/>
              </a:ln>
            </c:spPr>
          </c:marker>
          <c:xVal>
            <c:numRef>
              <c:f>ChartData!$A$62:$A$65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ChartData!$D$62:$D$65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2-4A86-8E2C-174035AF8898}"/>
            </c:ext>
          </c:extLst>
        </c:ser>
        <c:ser>
          <c:idx val="3"/>
          <c:order val="3"/>
          <c:tx>
            <c:strRef>
              <c:f>"MyLinkedList-steps"</c:f>
              <c:strCache>
                <c:ptCount val="1"/>
                <c:pt idx="0">
                  <c:v>MyLinkedList-steps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ChartData!$A$62:$A$65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ChartData!$E$62:$E$65</c:f>
              <c:numCache>
                <c:formatCode>0</c:formatCode>
                <c:ptCount val="4"/>
                <c:pt idx="0">
                  <c:v>100000</c:v>
                </c:pt>
                <c:pt idx="1">
                  <c:v>1000000</c:v>
                </c:pt>
                <c:pt idx="2">
                  <c:v>10000000</c:v>
                </c:pt>
                <c:pt idx="3">
                  <c:v>100000000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42-4A86-8E2C-174035AF8898}"/>
            </c:ext>
          </c:extLst>
        </c:ser>
        <c:ser>
          <c:idx val="4"/>
          <c:order val="4"/>
          <c:tx>
            <c:strRef>
              <c:f>"MyLinkedList-moves"</c:f>
              <c:strCache>
                <c:ptCount val="1"/>
                <c:pt idx="0">
                  <c:v>MyLinkedList-moves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ChartData!$A$62:$A$65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ChartData!$F$62:$F$65</c:f>
              <c:numCache>
                <c:formatCode>0</c:formatCode>
                <c:ptCount val="4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42-4A86-8E2C-174035AF8898}"/>
            </c:ext>
          </c:extLst>
        </c:ser>
        <c:ser>
          <c:idx val="5"/>
          <c:order val="5"/>
          <c:tx>
            <c:strRef>
              <c:f>"MyLinkedList-comparisons"</c:f>
              <c:strCache>
                <c:ptCount val="1"/>
                <c:pt idx="0">
                  <c:v>MyLinkedList-comparisons</c:v>
                </c:pt>
              </c:strCache>
            </c:strRef>
          </c:tx>
          <c:spPr>
            <a:ln w="20160">
              <a:solidFill>
                <a:srgbClr val="FF7F0E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prstDash val="solid"/>
              </a:ln>
            </c:spPr>
          </c:marker>
          <c:xVal>
            <c:numRef>
              <c:f>ChartData!$A$62:$A$65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ChartData!$G$62:$G$65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42-4A86-8E2C-174035AF8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10526"/>
        <c:axId val="54958278"/>
      </c:scatterChart>
      <c:valAx>
        <c:axId val="99910526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58278"/>
        <c:crosses val="autoZero"/>
        <c:crossBetween val="midCat"/>
      </c:valAx>
      <c:valAx>
        <c:axId val="5495827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910526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W4 Priority Processing — Time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"MinHeap"</c:f>
              <c:strCache>
                <c:ptCount val="1"/>
                <c:pt idx="0">
                  <c:v>MinHeap</c:v>
                </c:pt>
              </c:strCache>
            </c:strRef>
          </c:tx>
          <c:spPr>
            <a:ln w="20160">
              <a:solidFill>
                <a:srgbClr val="2CA02C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prstDash val="solid"/>
              </a:ln>
            </c:spPr>
          </c:marker>
          <c:xVal>
            <c:numRef>
              <c:f>ChartData!$A$71:$A$74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ChartData!$B$71:$B$74</c:f>
              <c:numCache>
                <c:formatCode>0.0000</c:formatCode>
                <c:ptCount val="4"/>
                <c:pt idx="0">
                  <c:v>8.5000000000000006E-2</c:v>
                </c:pt>
                <c:pt idx="1">
                  <c:v>0.27850000000000003</c:v>
                </c:pt>
                <c:pt idx="2">
                  <c:v>0.99919999999999998</c:v>
                </c:pt>
                <c:pt idx="3">
                  <c:v>9.5617999999999999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F-44ED-8AA6-BA029FFD1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11854"/>
        <c:axId val="9027942"/>
      </c:scatterChart>
      <c:valAx>
        <c:axId val="43011854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27942"/>
        <c:crosses val="autoZero"/>
        <c:crossBetween val="midCat"/>
      </c:valAx>
      <c:valAx>
        <c:axId val="90279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time, ms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011854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W4 Priority Processing — Steps/Moves/Comparisons vs 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"MinHeap-steps"</c:f>
              <c:strCache>
                <c:ptCount val="1"/>
                <c:pt idx="0">
                  <c:v>MinHeap-steps</c:v>
                </c:pt>
              </c:strCache>
            </c:strRef>
          </c:tx>
          <c:spPr>
            <a:ln w="20160">
              <a:solidFill>
                <a:srgbClr val="2CA02C"/>
              </a:solidFill>
              <a:prstDash val="solid"/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prstDash val="solid"/>
              </a:ln>
            </c:spPr>
          </c:marker>
          <c:xVal>
            <c:numRef>
              <c:f>ChartData!$A$79:$A$82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ChartData!$B$79:$B$82</c:f>
              <c:numCache>
                <c:formatCode>0</c:formatCode>
                <c:ptCount val="4"/>
                <c:pt idx="0">
                  <c:v>2170</c:v>
                </c:pt>
                <c:pt idx="1">
                  <c:v>35452</c:v>
                </c:pt>
                <c:pt idx="2">
                  <c:v>488658</c:v>
                </c:pt>
                <c:pt idx="3">
                  <c:v>6218250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9-4E5B-BD03-73BD87433A68}"/>
            </c:ext>
          </c:extLst>
        </c:ser>
        <c:ser>
          <c:idx val="1"/>
          <c:order val="1"/>
          <c:tx>
            <c:strRef>
              <c:f>"MinHeap-moves"</c:f>
              <c:strCache>
                <c:ptCount val="1"/>
                <c:pt idx="0">
                  <c:v>MinHeap-moves</c:v>
                </c:pt>
              </c:strCache>
            </c:strRef>
          </c:tx>
          <c:spPr>
            <a:ln w="20160">
              <a:solidFill>
                <a:srgbClr val="2CA02C"/>
              </a:solidFill>
              <a:prstDash val="dash"/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prstDash val="solid"/>
              </a:ln>
            </c:spPr>
          </c:marker>
          <c:xVal>
            <c:numRef>
              <c:f>ChartData!$A$79:$A$82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ChartData!$C$79:$C$82</c:f>
              <c:numCache>
                <c:formatCode>0</c:formatCode>
                <c:ptCount val="4"/>
                <c:pt idx="0">
                  <c:v>1341</c:v>
                </c:pt>
                <c:pt idx="1">
                  <c:v>20213</c:v>
                </c:pt>
                <c:pt idx="2">
                  <c:v>275475</c:v>
                </c:pt>
                <c:pt idx="3">
                  <c:v>3387427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9-4E5B-BD03-73BD87433A68}"/>
            </c:ext>
          </c:extLst>
        </c:ser>
        <c:ser>
          <c:idx val="2"/>
          <c:order val="2"/>
          <c:tx>
            <c:strRef>
              <c:f>"MinHeap-comparisons"</c:f>
              <c:strCache>
                <c:ptCount val="1"/>
                <c:pt idx="0">
                  <c:v>MinHeap-comparisons</c:v>
                </c:pt>
              </c:strCache>
            </c:strRef>
          </c:tx>
          <c:spPr>
            <a:ln w="20160">
              <a:solidFill>
                <a:srgbClr val="2CA02C"/>
              </a:solidFill>
              <a:prstDash val="sysDot"/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prstDash val="solid"/>
              </a:ln>
            </c:spPr>
          </c:marker>
          <c:xVal>
            <c:numRef>
              <c:f>ChartData!$A$79:$A$82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ChartData!$D$79:$D$82</c:f>
              <c:numCache>
                <c:formatCode>0</c:formatCode>
                <c:ptCount val="4"/>
                <c:pt idx="0">
                  <c:v>1035</c:v>
                </c:pt>
                <c:pt idx="1">
                  <c:v>17226</c:v>
                </c:pt>
                <c:pt idx="2">
                  <c:v>239329</c:v>
                </c:pt>
                <c:pt idx="3">
                  <c:v>3059125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9-4E5B-BD03-73BD87433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98515"/>
        <c:axId val="88004255"/>
      </c:scatterChart>
      <c:valAx>
        <c:axId val="11198515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04255"/>
        <c:crosses val="autoZero"/>
        <c:crossBetween val="midCat"/>
      </c:valAx>
      <c:valAx>
        <c:axId val="8800425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98515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375</xdr:colOff>
      <xdr:row>22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pane ySplit="1" topLeftCell="A2" activePane="bottomLeft" state="frozen"/>
      <selection pane="bottomLeft" activeCell="K30" sqref="K30"/>
    </sheetView>
  </sheetViews>
  <sheetFormatPr defaultColWidth="8.7109375" defaultRowHeight="15"/>
  <cols>
    <col min="1" max="1" width="10" customWidth="1"/>
    <col min="2" max="2" width="8" customWidth="1"/>
    <col min="3" max="3" width="14" customWidth="1"/>
    <col min="4" max="4" width="9" customWidth="1"/>
    <col min="5" max="5" width="11" customWidth="1"/>
    <col min="6" max="7" width="12" customWidth="1"/>
    <col min="8" max="8" width="13" customWidth="1"/>
  </cols>
  <sheetData>
    <row r="1" spans="1:8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customHeight="1">
      <c r="A2" s="3" t="s">
        <v>8</v>
      </c>
      <c r="B2" s="3" t="s">
        <v>9</v>
      </c>
      <c r="C2" s="3" t="s">
        <v>10</v>
      </c>
      <c r="D2" s="3">
        <v>100</v>
      </c>
      <c r="E2" s="3">
        <v>0.2379</v>
      </c>
      <c r="F2" s="3">
        <v>10000</v>
      </c>
      <c r="G2" s="3">
        <v>0</v>
      </c>
      <c r="H2" s="3">
        <v>0</v>
      </c>
    </row>
    <row r="3" spans="1:8" ht="15" customHeight="1">
      <c r="A3" s="3" t="s">
        <v>8</v>
      </c>
      <c r="B3" s="3" t="s">
        <v>9</v>
      </c>
      <c r="C3" s="3" t="s">
        <v>11</v>
      </c>
      <c r="D3" s="3">
        <v>100</v>
      </c>
      <c r="E3" s="3">
        <v>1.6813</v>
      </c>
      <c r="F3" s="3">
        <v>502068</v>
      </c>
      <c r="G3" s="3">
        <v>0</v>
      </c>
      <c r="H3" s="3">
        <v>0</v>
      </c>
    </row>
    <row r="4" spans="1:8" ht="15" customHeight="1">
      <c r="A4" s="3" t="s">
        <v>12</v>
      </c>
      <c r="B4" s="3" t="s">
        <v>9</v>
      </c>
      <c r="C4" s="3" t="s">
        <v>10</v>
      </c>
      <c r="D4" s="3">
        <v>100</v>
      </c>
      <c r="E4" s="3">
        <v>0.34439999999999998</v>
      </c>
      <c r="F4" s="3">
        <v>75238</v>
      </c>
      <c r="G4" s="3">
        <v>0</v>
      </c>
      <c r="H4" s="3">
        <v>75238</v>
      </c>
    </row>
    <row r="5" spans="1:8" ht="15" customHeight="1">
      <c r="A5" s="3" t="s">
        <v>12</v>
      </c>
      <c r="B5" s="3" t="s">
        <v>9</v>
      </c>
      <c r="C5" s="3" t="s">
        <v>11</v>
      </c>
      <c r="D5" s="3">
        <v>100</v>
      </c>
      <c r="E5" s="3">
        <v>0.1234</v>
      </c>
      <c r="F5" s="3">
        <v>75238</v>
      </c>
      <c r="G5" s="3">
        <v>0</v>
      </c>
      <c r="H5" s="3">
        <v>75238</v>
      </c>
    </row>
    <row r="6" spans="1:8" ht="15" customHeight="1">
      <c r="A6" s="3" t="s">
        <v>8</v>
      </c>
      <c r="B6" s="3" t="s">
        <v>9</v>
      </c>
      <c r="C6" s="3" t="s">
        <v>10</v>
      </c>
      <c r="D6" s="3">
        <v>100</v>
      </c>
      <c r="E6" s="3">
        <v>0.46050000000000002</v>
      </c>
      <c r="F6" s="3">
        <v>10000</v>
      </c>
      <c r="G6" s="3">
        <v>0</v>
      </c>
      <c r="H6" s="3">
        <v>0</v>
      </c>
    </row>
    <row r="7" spans="1:8" ht="15" customHeight="1">
      <c r="A7" s="3" t="s">
        <v>8</v>
      </c>
      <c r="B7" s="3" t="s">
        <v>9</v>
      </c>
      <c r="C7" s="3" t="s">
        <v>11</v>
      </c>
      <c r="D7" s="3">
        <v>100</v>
      </c>
      <c r="E7" s="3">
        <v>0.64449999999999996</v>
      </c>
      <c r="F7" s="3">
        <v>502068</v>
      </c>
      <c r="G7" s="3">
        <v>0</v>
      </c>
      <c r="H7" s="3">
        <v>0</v>
      </c>
    </row>
    <row r="8" spans="1:8" ht="15" customHeight="1">
      <c r="A8" s="3" t="s">
        <v>12</v>
      </c>
      <c r="B8" s="3" t="s">
        <v>9</v>
      </c>
      <c r="C8" s="3" t="s">
        <v>10</v>
      </c>
      <c r="D8" s="3">
        <v>100</v>
      </c>
      <c r="E8" s="3">
        <v>0.31109999999999999</v>
      </c>
      <c r="F8" s="3">
        <v>75238</v>
      </c>
      <c r="G8" s="3">
        <v>0</v>
      </c>
      <c r="H8" s="3">
        <v>75238</v>
      </c>
    </row>
    <row r="9" spans="1:8" ht="15" customHeight="1">
      <c r="A9" s="3" t="s">
        <v>12</v>
      </c>
      <c r="B9" s="3" t="s">
        <v>9</v>
      </c>
      <c r="C9" s="3" t="s">
        <v>11</v>
      </c>
      <c r="D9" s="3">
        <v>100</v>
      </c>
      <c r="E9" s="3">
        <v>1.6528</v>
      </c>
      <c r="F9" s="3">
        <v>75238</v>
      </c>
      <c r="G9" s="3">
        <v>0</v>
      </c>
      <c r="H9" s="3">
        <v>75238</v>
      </c>
    </row>
    <row r="10" spans="1:8" ht="15" customHeight="1">
      <c r="A10" s="3" t="s">
        <v>13</v>
      </c>
      <c r="B10" s="3" t="s">
        <v>14</v>
      </c>
      <c r="C10" s="3" t="s">
        <v>10</v>
      </c>
      <c r="D10" s="3">
        <v>100</v>
      </c>
      <c r="E10" s="3">
        <v>3.7067000000000001</v>
      </c>
      <c r="F10" s="3">
        <v>1000</v>
      </c>
      <c r="G10" s="3">
        <v>1201920</v>
      </c>
      <c r="H10" s="3">
        <v>0</v>
      </c>
    </row>
    <row r="11" spans="1:8" ht="15" customHeight="1">
      <c r="A11" s="3" t="s">
        <v>13</v>
      </c>
      <c r="B11" s="3" t="s">
        <v>14</v>
      </c>
      <c r="C11" s="3" t="s">
        <v>11</v>
      </c>
      <c r="D11" s="3">
        <v>100</v>
      </c>
      <c r="E11" s="3">
        <v>0.1133</v>
      </c>
      <c r="F11" s="3">
        <v>0</v>
      </c>
      <c r="G11" s="3">
        <v>2000</v>
      </c>
      <c r="H11" s="3">
        <v>0</v>
      </c>
    </row>
    <row r="12" spans="1:8" ht="15" customHeight="1">
      <c r="A12" s="3" t="s">
        <v>13</v>
      </c>
      <c r="B12" s="3" t="s">
        <v>15</v>
      </c>
      <c r="C12" s="3" t="s">
        <v>10</v>
      </c>
      <c r="D12" s="3">
        <v>100</v>
      </c>
      <c r="E12" s="3">
        <v>0.1148</v>
      </c>
      <c r="F12" s="3">
        <v>1000</v>
      </c>
      <c r="G12" s="3">
        <v>1101920</v>
      </c>
      <c r="H12" s="3">
        <v>0</v>
      </c>
    </row>
    <row r="13" spans="1:8" ht="15" customHeight="1">
      <c r="A13" s="3" t="s">
        <v>13</v>
      </c>
      <c r="B13" s="3" t="s">
        <v>15</v>
      </c>
      <c r="C13" s="3" t="s">
        <v>11</v>
      </c>
      <c r="D13" s="3">
        <v>100</v>
      </c>
      <c r="E13" s="3">
        <v>0.15379999999999999</v>
      </c>
      <c r="F13" s="3">
        <v>100000</v>
      </c>
      <c r="G13" s="3">
        <v>3000</v>
      </c>
      <c r="H13" s="3">
        <v>0</v>
      </c>
    </row>
    <row r="14" spans="1:8" ht="15" customHeight="1">
      <c r="A14" s="3" t="s">
        <v>16</v>
      </c>
      <c r="B14" s="3" t="s">
        <v>9</v>
      </c>
      <c r="C14" s="3" t="s">
        <v>17</v>
      </c>
      <c r="D14" s="3">
        <v>100</v>
      </c>
      <c r="E14" s="3">
        <v>8.5000000000000006E-2</v>
      </c>
      <c r="F14" s="3">
        <v>2170</v>
      </c>
      <c r="G14" s="3">
        <v>1341</v>
      </c>
      <c r="H14" s="3">
        <v>1035</v>
      </c>
    </row>
    <row r="15" spans="1:8" ht="15" customHeight="1">
      <c r="A15" s="3" t="s">
        <v>8</v>
      </c>
      <c r="B15" s="3" t="s">
        <v>9</v>
      </c>
      <c r="C15" s="3" t="s">
        <v>10</v>
      </c>
      <c r="D15" s="3">
        <v>1000</v>
      </c>
      <c r="E15" s="3">
        <v>0.1164</v>
      </c>
      <c r="F15" s="3">
        <v>10000</v>
      </c>
      <c r="G15" s="3">
        <v>0</v>
      </c>
      <c r="H15" s="3">
        <v>0</v>
      </c>
    </row>
    <row r="16" spans="1:8" ht="15" customHeight="1">
      <c r="A16" s="3" t="s">
        <v>8</v>
      </c>
      <c r="B16" s="3" t="s">
        <v>9</v>
      </c>
      <c r="C16" s="3" t="s">
        <v>11</v>
      </c>
      <c r="D16" s="3">
        <v>1000</v>
      </c>
      <c r="E16" s="3">
        <v>5.0848000000000004</v>
      </c>
      <c r="F16" s="3">
        <v>4953268</v>
      </c>
      <c r="G16" s="3">
        <v>0</v>
      </c>
      <c r="H16" s="3">
        <v>0</v>
      </c>
    </row>
    <row r="17" spans="1:8" ht="15" customHeight="1">
      <c r="A17" s="3" t="s">
        <v>12</v>
      </c>
      <c r="B17" s="3" t="s">
        <v>9</v>
      </c>
      <c r="C17" s="3" t="s">
        <v>10</v>
      </c>
      <c r="D17" s="3">
        <v>1000</v>
      </c>
      <c r="E17" s="3">
        <v>0.24529999999999999</v>
      </c>
      <c r="F17" s="3">
        <v>757638</v>
      </c>
      <c r="G17" s="3">
        <v>0</v>
      </c>
      <c r="H17" s="3">
        <v>757638</v>
      </c>
    </row>
    <row r="18" spans="1:8" ht="15" customHeight="1">
      <c r="A18" s="3" t="s">
        <v>12</v>
      </c>
      <c r="B18" s="3" t="s">
        <v>9</v>
      </c>
      <c r="C18" s="3" t="s">
        <v>11</v>
      </c>
      <c r="D18" s="3">
        <v>1000</v>
      </c>
      <c r="E18" s="3">
        <v>1.1193</v>
      </c>
      <c r="F18" s="3">
        <v>757638</v>
      </c>
      <c r="G18" s="3">
        <v>0</v>
      </c>
      <c r="H18" s="3">
        <v>757638</v>
      </c>
    </row>
    <row r="19" spans="1:8" ht="15" customHeight="1">
      <c r="A19" s="3" t="s">
        <v>13</v>
      </c>
      <c r="B19" s="3" t="s">
        <v>14</v>
      </c>
      <c r="C19" s="3" t="s">
        <v>10</v>
      </c>
      <c r="D19" s="3">
        <v>1000</v>
      </c>
      <c r="E19" s="3">
        <v>0.1724</v>
      </c>
      <c r="F19" s="3">
        <v>1000</v>
      </c>
      <c r="G19" s="3">
        <v>3001024</v>
      </c>
      <c r="H19" s="3">
        <v>0</v>
      </c>
    </row>
    <row r="20" spans="1:8" ht="15" customHeight="1">
      <c r="A20" s="3" t="s">
        <v>13</v>
      </c>
      <c r="B20" s="3" t="s">
        <v>14</v>
      </c>
      <c r="C20" s="3" t="s">
        <v>11</v>
      </c>
      <c r="D20" s="3">
        <v>1000</v>
      </c>
      <c r="E20" s="3">
        <v>2.5899999999999999E-2</v>
      </c>
      <c r="F20" s="3">
        <v>0</v>
      </c>
      <c r="G20" s="3">
        <v>2000</v>
      </c>
      <c r="H20" s="3">
        <v>0</v>
      </c>
    </row>
    <row r="21" spans="1:8" ht="15" customHeight="1">
      <c r="A21" s="3" t="s">
        <v>13</v>
      </c>
      <c r="B21" s="3" t="s">
        <v>15</v>
      </c>
      <c r="C21" s="3" t="s">
        <v>10</v>
      </c>
      <c r="D21" s="3">
        <v>1000</v>
      </c>
      <c r="E21" s="3">
        <v>0.1288</v>
      </c>
      <c r="F21" s="3">
        <v>1000</v>
      </c>
      <c r="G21" s="3">
        <v>2001024</v>
      </c>
      <c r="H21" s="3">
        <v>0</v>
      </c>
    </row>
    <row r="22" spans="1:8" ht="15" customHeight="1">
      <c r="A22" s="3" t="s">
        <v>13</v>
      </c>
      <c r="B22" s="3" t="s">
        <v>15</v>
      </c>
      <c r="C22" s="3" t="s">
        <v>11</v>
      </c>
      <c r="D22" s="3">
        <v>1000</v>
      </c>
      <c r="E22" s="3">
        <v>1.1145</v>
      </c>
      <c r="F22" s="3">
        <v>1000000</v>
      </c>
      <c r="G22" s="3">
        <v>3000</v>
      </c>
      <c r="H22" s="3">
        <v>0</v>
      </c>
    </row>
    <row r="23" spans="1:8" ht="15" customHeight="1">
      <c r="A23" s="3" t="s">
        <v>16</v>
      </c>
      <c r="B23" s="3" t="s">
        <v>9</v>
      </c>
      <c r="C23" s="3" t="s">
        <v>17</v>
      </c>
      <c r="D23" s="3">
        <v>1000</v>
      </c>
      <c r="E23" s="3">
        <v>0.27850000000000003</v>
      </c>
      <c r="F23" s="3">
        <v>35452</v>
      </c>
      <c r="G23" s="3">
        <v>20213</v>
      </c>
      <c r="H23" s="3">
        <v>17226</v>
      </c>
    </row>
    <row r="24" spans="1:8" ht="15" customHeight="1">
      <c r="A24" s="3" t="s">
        <v>8</v>
      </c>
      <c r="B24" s="3" t="s">
        <v>9</v>
      </c>
      <c r="C24" s="3" t="s">
        <v>10</v>
      </c>
      <c r="D24" s="3">
        <v>10000</v>
      </c>
      <c r="E24" s="3">
        <v>0.15379999999999999</v>
      </c>
      <c r="F24" s="3">
        <v>10000</v>
      </c>
      <c r="G24" s="3">
        <v>0</v>
      </c>
      <c r="H24" s="3">
        <v>0</v>
      </c>
    </row>
    <row r="25" spans="1:8" ht="15" customHeight="1">
      <c r="A25" s="3" t="s">
        <v>8</v>
      </c>
      <c r="B25" s="3" t="s">
        <v>9</v>
      </c>
      <c r="C25" s="3" t="s">
        <v>11</v>
      </c>
      <c r="D25" s="3">
        <v>10000</v>
      </c>
      <c r="E25" s="3">
        <v>56.677500000000002</v>
      </c>
      <c r="F25" s="3">
        <v>49618268</v>
      </c>
      <c r="G25" s="3">
        <v>0</v>
      </c>
      <c r="H25" s="3">
        <v>0</v>
      </c>
    </row>
    <row r="26" spans="1:8" ht="15" customHeight="1">
      <c r="A26" s="3" t="s">
        <v>12</v>
      </c>
      <c r="B26" s="3" t="s">
        <v>9</v>
      </c>
      <c r="C26" s="3" t="s">
        <v>10</v>
      </c>
      <c r="D26" s="3">
        <v>10000</v>
      </c>
      <c r="E26" s="3">
        <v>2.1791999999999998</v>
      </c>
      <c r="F26" s="3">
        <v>7489792</v>
      </c>
      <c r="G26" s="3">
        <v>0</v>
      </c>
      <c r="H26" s="3">
        <v>7489792</v>
      </c>
    </row>
    <row r="27" spans="1:8" ht="15" customHeight="1">
      <c r="A27" s="3" t="s">
        <v>12</v>
      </c>
      <c r="B27" s="3" t="s">
        <v>9</v>
      </c>
      <c r="C27" s="3" t="s">
        <v>11</v>
      </c>
      <c r="D27" s="3">
        <v>10000</v>
      </c>
      <c r="E27" s="3">
        <v>12.1647</v>
      </c>
      <c r="F27" s="3">
        <v>7489792</v>
      </c>
      <c r="G27" s="3">
        <v>0</v>
      </c>
      <c r="H27" s="3">
        <v>7489792</v>
      </c>
    </row>
    <row r="28" spans="1:8" ht="15" customHeight="1">
      <c r="A28" s="3" t="s">
        <v>13</v>
      </c>
      <c r="B28" s="3" t="s">
        <v>14</v>
      </c>
      <c r="C28" s="3" t="s">
        <v>10</v>
      </c>
      <c r="D28" s="3">
        <v>10000</v>
      </c>
      <c r="E28" s="3">
        <v>0.8478</v>
      </c>
      <c r="F28" s="3">
        <v>1000</v>
      </c>
      <c r="G28" s="3">
        <v>21000000</v>
      </c>
      <c r="H28" s="3">
        <v>0</v>
      </c>
    </row>
    <row r="29" spans="1:8" ht="15" customHeight="1">
      <c r="A29" s="3" t="s">
        <v>13</v>
      </c>
      <c r="B29" s="3" t="s">
        <v>14</v>
      </c>
      <c r="C29" s="3" t="s">
        <v>11</v>
      </c>
      <c r="D29" s="3">
        <v>10000</v>
      </c>
      <c r="E29" s="3">
        <v>3.95E-2</v>
      </c>
      <c r="F29" s="3">
        <v>0</v>
      </c>
      <c r="G29" s="3">
        <v>2000</v>
      </c>
      <c r="H29" s="3">
        <v>0</v>
      </c>
    </row>
    <row r="30" spans="1:8" ht="15" customHeight="1">
      <c r="A30" s="3" t="s">
        <v>13</v>
      </c>
      <c r="B30" s="3" t="s">
        <v>15</v>
      </c>
      <c r="C30" s="3" t="s">
        <v>10</v>
      </c>
      <c r="D30" s="3">
        <v>10000</v>
      </c>
      <c r="E30" s="3">
        <v>0.45989999999999998</v>
      </c>
      <c r="F30" s="3">
        <v>1000</v>
      </c>
      <c r="G30" s="3">
        <v>11000000</v>
      </c>
      <c r="H30" s="3">
        <v>0</v>
      </c>
    </row>
    <row r="31" spans="1:8" ht="15" customHeight="1">
      <c r="A31" s="3" t="s">
        <v>13</v>
      </c>
      <c r="B31" s="3" t="s">
        <v>15</v>
      </c>
      <c r="C31" s="3" t="s">
        <v>11</v>
      </c>
      <c r="D31" s="3">
        <v>10000</v>
      </c>
      <c r="E31" s="3">
        <v>11.4701</v>
      </c>
      <c r="F31" s="3">
        <v>10000000</v>
      </c>
      <c r="G31" s="3">
        <v>3000</v>
      </c>
      <c r="H31" s="3">
        <v>0</v>
      </c>
    </row>
    <row r="32" spans="1:8" ht="15" customHeight="1">
      <c r="A32" s="3" t="s">
        <v>16</v>
      </c>
      <c r="B32" s="3" t="s">
        <v>9</v>
      </c>
      <c r="C32" s="3" t="s">
        <v>17</v>
      </c>
      <c r="D32" s="3">
        <v>10000</v>
      </c>
      <c r="E32" s="3">
        <v>0.99919999999999998</v>
      </c>
      <c r="F32" s="3">
        <v>488658</v>
      </c>
      <c r="G32" s="3">
        <v>275475</v>
      </c>
      <c r="H32" s="3">
        <v>239329</v>
      </c>
    </row>
    <row r="33" spans="1:8" ht="15" customHeight="1">
      <c r="A33" s="3" t="s">
        <v>8</v>
      </c>
      <c r="B33" s="3" t="s">
        <v>9</v>
      </c>
      <c r="C33" s="3" t="s">
        <v>10</v>
      </c>
      <c r="D33" s="3">
        <v>100000</v>
      </c>
      <c r="E33" s="3">
        <v>0.1409</v>
      </c>
      <c r="F33" s="3">
        <v>10000</v>
      </c>
      <c r="G33" s="3">
        <v>0</v>
      </c>
      <c r="H33" s="3">
        <v>0</v>
      </c>
    </row>
    <row r="34" spans="1:8" ht="15" customHeight="1">
      <c r="A34" s="3" t="s">
        <v>8</v>
      </c>
      <c r="B34" s="3" t="s">
        <v>9</v>
      </c>
      <c r="C34" s="3" t="s">
        <v>11</v>
      </c>
      <c r="D34" s="3">
        <v>100000</v>
      </c>
      <c r="E34" s="3">
        <v>663.56359999999995</v>
      </c>
      <c r="F34" s="3">
        <v>493288268</v>
      </c>
      <c r="G34" s="3">
        <v>0</v>
      </c>
      <c r="H34" s="3">
        <v>0</v>
      </c>
    </row>
    <row r="35" spans="1:8" ht="15" customHeight="1">
      <c r="A35" s="3" t="s">
        <v>12</v>
      </c>
      <c r="B35" s="3" t="s">
        <v>9</v>
      </c>
      <c r="C35" s="3" t="s">
        <v>10</v>
      </c>
      <c r="D35" s="3">
        <v>100000</v>
      </c>
      <c r="E35" s="3">
        <v>22.34</v>
      </c>
      <c r="F35" s="3">
        <v>74253877</v>
      </c>
      <c r="G35" s="3">
        <v>0</v>
      </c>
      <c r="H35" s="3">
        <v>74253877</v>
      </c>
    </row>
    <row r="36" spans="1:8" ht="15" customHeight="1">
      <c r="A36" s="3" t="s">
        <v>12</v>
      </c>
      <c r="B36" s="3" t="s">
        <v>9</v>
      </c>
      <c r="C36" s="3" t="s">
        <v>11</v>
      </c>
      <c r="D36" s="3">
        <v>100000</v>
      </c>
      <c r="E36" s="3">
        <v>167.3</v>
      </c>
      <c r="F36" s="3">
        <v>74253877</v>
      </c>
      <c r="G36" s="3">
        <v>0</v>
      </c>
      <c r="H36" s="3">
        <v>74253877</v>
      </c>
    </row>
    <row r="37" spans="1:8" ht="15" customHeight="1">
      <c r="A37" s="3" t="s">
        <v>13</v>
      </c>
      <c r="B37" s="3" t="s">
        <v>14</v>
      </c>
      <c r="C37" s="3" t="s">
        <v>10</v>
      </c>
      <c r="D37" s="3">
        <v>100000</v>
      </c>
      <c r="E37" s="3">
        <v>11.1044</v>
      </c>
      <c r="F37" s="3">
        <v>1000</v>
      </c>
      <c r="G37" s="3">
        <v>201000000</v>
      </c>
      <c r="H37" s="3">
        <v>0</v>
      </c>
    </row>
    <row r="38" spans="1:8">
      <c r="A38" t="s">
        <v>13</v>
      </c>
      <c r="B38" t="s">
        <v>14</v>
      </c>
      <c r="C38" t="s">
        <v>11</v>
      </c>
      <c r="D38">
        <v>100000</v>
      </c>
      <c r="E38">
        <v>4.6300000000000001E-2</v>
      </c>
      <c r="F38">
        <v>0</v>
      </c>
      <c r="G38">
        <v>2000</v>
      </c>
      <c r="H38">
        <v>0</v>
      </c>
    </row>
    <row r="39" spans="1:8">
      <c r="A39" t="s">
        <v>13</v>
      </c>
      <c r="B39" t="s">
        <v>15</v>
      </c>
      <c r="C39" t="s">
        <v>10</v>
      </c>
      <c r="D39">
        <v>100000</v>
      </c>
      <c r="E39">
        <v>5.5598999999999998</v>
      </c>
      <c r="F39">
        <v>1000</v>
      </c>
      <c r="G39">
        <v>101000000</v>
      </c>
      <c r="H39">
        <v>0</v>
      </c>
    </row>
    <row r="40" spans="1:8">
      <c r="A40" t="s">
        <v>13</v>
      </c>
      <c r="B40" t="s">
        <v>15</v>
      </c>
      <c r="C40" t="s">
        <v>11</v>
      </c>
      <c r="D40">
        <v>100000</v>
      </c>
      <c r="E40">
        <v>141.5581</v>
      </c>
      <c r="F40">
        <v>100000000</v>
      </c>
      <c r="G40">
        <v>3000</v>
      </c>
      <c r="H40">
        <v>0</v>
      </c>
    </row>
    <row r="41" spans="1:8">
      <c r="A41" t="s">
        <v>16</v>
      </c>
      <c r="B41" t="s">
        <v>9</v>
      </c>
      <c r="C41" t="s">
        <v>17</v>
      </c>
      <c r="D41">
        <v>100000</v>
      </c>
      <c r="E41">
        <v>9.5617999999999999</v>
      </c>
      <c r="F41">
        <v>6218250</v>
      </c>
      <c r="G41">
        <v>3387427</v>
      </c>
      <c r="H41">
        <v>3059125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2"/>
  <sheetViews>
    <sheetView zoomScaleNormal="100" workbookViewId="0">
      <selection activeCell="A6" sqref="A6"/>
    </sheetView>
  </sheetViews>
  <sheetFormatPr defaultColWidth="8.7109375" defaultRowHeight="15"/>
  <cols>
    <col min="1" max="10" width="10" customWidth="1"/>
  </cols>
  <sheetData>
    <row r="1" spans="1:7" ht="16.149999999999999" customHeight="1">
      <c r="A1" s="1" t="s">
        <v>18</v>
      </c>
    </row>
    <row r="2" spans="1:7" ht="15" customHeight="1">
      <c r="A2" s="4" t="s">
        <v>3</v>
      </c>
      <c r="B2" s="4" t="s">
        <v>10</v>
      </c>
      <c r="C2" s="4" t="s">
        <v>11</v>
      </c>
    </row>
    <row r="3" spans="1:7" ht="15" customHeight="1">
      <c r="A3" s="3">
        <v>100</v>
      </c>
      <c r="B3" s="5">
        <f>SUMIFS(RawData!$E$2:$E$1000,RawData!$A$2:$A$1000,"W1",RawData!$B$2:$B$1000,"-",RawData!$C$2:$C$1000,"DynamicArray",RawData!$D$2:$D$1000,$A3)</f>
        <v>0.69840000000000002</v>
      </c>
      <c r="C3" s="5">
        <f>SUMIFS(RawData!$E$2:$E$1000,RawData!$A$2:$A$1000,"W1",RawData!$B$2:$B$1000,"-",RawData!$C$2:$C$1000,"LinkedList",RawData!$D$2:$D$1000,$A3)</f>
        <v>2.3258000000000001</v>
      </c>
    </row>
    <row r="4" spans="1:7" ht="15" customHeight="1">
      <c r="A4" s="3">
        <v>1000</v>
      </c>
      <c r="B4" s="5">
        <f>SUMIFS(RawData!$E$2:$E$1000,RawData!$A$2:$A$1000,"W1",RawData!$B$2:$B$1000,"-",RawData!$C$2:$C$1000,"DynamicArray",RawData!$D$2:$D$1000,$A4)</f>
        <v>0.1164</v>
      </c>
      <c r="C4" s="5">
        <f>SUMIFS(RawData!$E$2:$E$1000,RawData!$A$2:$A$1000,"W1",RawData!$B$2:$B$1000,"-",RawData!$C$2:$C$1000,"LinkedList",RawData!$D$2:$D$1000,$A4)</f>
        <v>5.0848000000000004</v>
      </c>
    </row>
    <row r="5" spans="1:7" ht="15" customHeight="1">
      <c r="A5" s="3">
        <v>10000</v>
      </c>
      <c r="B5" s="5">
        <f>SUMIFS(RawData!$E$2:$E$1000,RawData!$A$2:$A$1000,"W1",RawData!$B$2:$B$1000,"-",RawData!$C$2:$C$1000,"DynamicArray",RawData!$D$2:$D$1000,$A5)</f>
        <v>0.15379999999999999</v>
      </c>
      <c r="C5" s="5">
        <f>SUMIFS(RawData!$E$2:$E$1000,RawData!$A$2:$A$1000,"W1",RawData!$B$2:$B$1000,"-",RawData!$C$2:$C$1000,"LinkedList",RawData!$D$2:$D$1000,$A5)</f>
        <v>56.677500000000002</v>
      </c>
    </row>
    <row r="6" spans="1:7" ht="15" customHeight="1">
      <c r="A6" s="3">
        <v>100000</v>
      </c>
      <c r="B6" s="5">
        <f>SUMIFS(RawData!$E$2:$E$1000,RawData!$A$2:$A$1000,"W1",RawData!$B$2:$B$1000,"-",RawData!$C$2:$C$1000,"DynamicArray",RawData!$D$2:$D$1000,$A6)</f>
        <v>0.1409</v>
      </c>
      <c r="C6" s="5">
        <f>SUMIFS(RawData!$E$2:$E$1000,RawData!$A$2:$A$1000,"W1",RawData!$B$2:$B$1000,"-",RawData!$C$2:$C$1000,"LinkedList",RawData!$D$2:$D$1000,$A6)</f>
        <v>663.56359999999995</v>
      </c>
    </row>
    <row r="9" spans="1:7" ht="16.149999999999999" customHeight="1">
      <c r="A9" s="1" t="s">
        <v>19</v>
      </c>
    </row>
    <row r="10" spans="1:7" ht="60" customHeight="1">
      <c r="A10" s="4" t="s">
        <v>3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</row>
    <row r="11" spans="1:7" ht="15" customHeight="1">
      <c r="A11" s="3">
        <v>100</v>
      </c>
      <c r="B11" s="7">
        <f>SUMIFS(RawData!$F$2:$F$1000,RawData!$A$2:$A$1000,"W1",RawData!$B$2:$B$1000,"-",RawData!$C$2:$C$1000,"DynamicArray",RawData!$D$2:$D$1000,$A11)</f>
        <v>20000</v>
      </c>
      <c r="C11" s="7">
        <f>SUMIFS(RawData!$G$2:$G$1000,RawData!$A$2:$A$1000,"W1",RawData!$B$2:$B$1000,"-",RawData!$C$2:$C$1000,"DynamicArray",RawData!$D$2:$D$1000,$A11)</f>
        <v>0</v>
      </c>
      <c r="D11" s="7">
        <f>SUMIFS(RawData!$H$2:$H$1000,RawData!$A$2:$A$1000,"W1",RawData!$B$2:$B$1000,"-",RawData!$C$2:$C$1000,"DynamicArray",RawData!$D$2:$D$1000,$A11)</f>
        <v>0</v>
      </c>
      <c r="E11" s="7">
        <f>SUMIFS(RawData!$F$2:$F$1000,RawData!$A$2:$A$1000,"W1",RawData!$B$2:$B$1000,"-",RawData!$C$2:$C$1000,"LinkedList",RawData!$D$2:$D$1000,$A11)</f>
        <v>1004136</v>
      </c>
      <c r="F11" s="7">
        <f>SUMIFS(RawData!$G$2:$G$1000,RawData!$A$2:$A$1000,"W1",RawData!$B$2:$B$1000,"-",RawData!$C$2:$C$1000,"LinkedList",RawData!$D$2:$D$1000,$A11)</f>
        <v>0</v>
      </c>
      <c r="G11" s="7">
        <f>SUMIFS(RawData!$H$2:$H$1000,RawData!$A$2:$A$1000,"W1",RawData!$B$2:$B$1000,"-",RawData!$C$2:$C$1000,"LinkedList",RawData!$D$2:$D$1000,$A11)</f>
        <v>0</v>
      </c>
    </row>
    <row r="12" spans="1:7" ht="15" customHeight="1">
      <c r="A12" s="3">
        <v>1000</v>
      </c>
      <c r="B12" s="7">
        <f>SUMIFS(RawData!$F$2:$F$1000,RawData!$A$2:$A$1000,"W1",RawData!$B$2:$B$1000,"-",RawData!$C$2:$C$1000,"DynamicArray",RawData!$D$2:$D$1000,$A12)</f>
        <v>10000</v>
      </c>
      <c r="C12" s="7">
        <f>SUMIFS(RawData!$G$2:$G$1000,RawData!$A$2:$A$1000,"W1",RawData!$B$2:$B$1000,"-",RawData!$C$2:$C$1000,"DynamicArray",RawData!$D$2:$D$1000,$A12)</f>
        <v>0</v>
      </c>
      <c r="D12" s="7">
        <f>SUMIFS(RawData!$H$2:$H$1000,RawData!$A$2:$A$1000,"W1",RawData!$B$2:$B$1000,"-",RawData!$C$2:$C$1000,"DynamicArray",RawData!$D$2:$D$1000,$A12)</f>
        <v>0</v>
      </c>
      <c r="E12" s="7">
        <f>SUMIFS(RawData!$F$2:$F$1000,RawData!$A$2:$A$1000,"W1",RawData!$B$2:$B$1000,"-",RawData!$C$2:$C$1000,"LinkedList",RawData!$D$2:$D$1000,$A12)</f>
        <v>4953268</v>
      </c>
      <c r="F12" s="7">
        <f>SUMIFS(RawData!$G$2:$G$1000,RawData!$A$2:$A$1000,"W1",RawData!$B$2:$B$1000,"-",RawData!$C$2:$C$1000,"LinkedList",RawData!$D$2:$D$1000,$A12)</f>
        <v>0</v>
      </c>
      <c r="G12" s="7">
        <f>SUMIFS(RawData!$H$2:$H$1000,RawData!$A$2:$A$1000,"W1",RawData!$B$2:$B$1000,"-",RawData!$C$2:$C$1000,"LinkedList",RawData!$D$2:$D$1000,$A12)</f>
        <v>0</v>
      </c>
    </row>
    <row r="13" spans="1:7" ht="15" customHeight="1">
      <c r="A13" s="3">
        <v>10000</v>
      </c>
      <c r="B13" s="7">
        <f>SUMIFS(RawData!$F$2:$F$1000,RawData!$A$2:$A$1000,"W1",RawData!$B$2:$B$1000,"-",RawData!$C$2:$C$1000,"DynamicArray",RawData!$D$2:$D$1000,$A13)</f>
        <v>10000</v>
      </c>
      <c r="C13" s="7">
        <f>SUMIFS(RawData!$G$2:$G$1000,RawData!$A$2:$A$1000,"W1",RawData!$B$2:$B$1000,"-",RawData!$C$2:$C$1000,"DynamicArray",RawData!$D$2:$D$1000,$A13)</f>
        <v>0</v>
      </c>
      <c r="D13" s="7">
        <f>SUMIFS(RawData!$H$2:$H$1000,RawData!$A$2:$A$1000,"W1",RawData!$B$2:$B$1000,"-",RawData!$C$2:$C$1000,"DynamicArray",RawData!$D$2:$D$1000,$A13)</f>
        <v>0</v>
      </c>
      <c r="E13" s="7">
        <f>SUMIFS(RawData!$F$2:$F$1000,RawData!$A$2:$A$1000,"W1",RawData!$B$2:$B$1000,"-",RawData!$C$2:$C$1000,"LinkedList",RawData!$D$2:$D$1000,$A13)</f>
        <v>49618268</v>
      </c>
      <c r="F13" s="7">
        <f>SUMIFS(RawData!$G$2:$G$1000,RawData!$A$2:$A$1000,"W1",RawData!$B$2:$B$1000,"-",RawData!$C$2:$C$1000,"LinkedList",RawData!$D$2:$D$1000,$A13)</f>
        <v>0</v>
      </c>
      <c r="G13" s="7">
        <f>SUMIFS(RawData!$H$2:$H$1000,RawData!$A$2:$A$1000,"W1",RawData!$B$2:$B$1000,"-",RawData!$C$2:$C$1000,"LinkedList",RawData!$D$2:$D$1000,$A13)</f>
        <v>0</v>
      </c>
    </row>
    <row r="14" spans="1:7" ht="15" customHeight="1">
      <c r="A14" s="3">
        <v>100000</v>
      </c>
      <c r="B14" s="7">
        <f>SUMIFS(RawData!$F$2:$F$1000,RawData!$A$2:$A$1000,"W1",RawData!$B$2:$B$1000,"-",RawData!$C$2:$C$1000,"DynamicArray",RawData!$D$2:$D$1000,$A14)</f>
        <v>10000</v>
      </c>
      <c r="C14" s="7">
        <f>SUMIFS(RawData!$G$2:$G$1000,RawData!$A$2:$A$1000,"W1",RawData!$B$2:$B$1000,"-",RawData!$C$2:$C$1000,"DynamicArray",RawData!$D$2:$D$1000,$A14)</f>
        <v>0</v>
      </c>
      <c r="D14" s="7">
        <f>SUMIFS(RawData!$H$2:$H$1000,RawData!$A$2:$A$1000,"W1",RawData!$B$2:$B$1000,"-",RawData!$C$2:$C$1000,"DynamicArray",RawData!$D$2:$D$1000,$A14)</f>
        <v>0</v>
      </c>
      <c r="E14" s="7">
        <f>SUMIFS(RawData!$F$2:$F$1000,RawData!$A$2:$A$1000,"W1",RawData!$B$2:$B$1000,"-",RawData!$C$2:$C$1000,"LinkedList",RawData!$D$2:$D$1000,$A14)</f>
        <v>493288268</v>
      </c>
      <c r="F14" s="7">
        <f>SUMIFS(RawData!$G$2:$G$1000,RawData!$A$2:$A$1000,"W1",RawData!$B$2:$B$1000,"-",RawData!$C$2:$C$1000,"LinkedList",RawData!$D$2:$D$1000,$A14)</f>
        <v>0</v>
      </c>
      <c r="G14" s="7">
        <f>SUMIFS(RawData!$H$2:$H$1000,RawData!$A$2:$A$1000,"W1",RawData!$B$2:$B$1000,"-",RawData!$C$2:$C$1000,"LinkedList",RawData!$D$2:$D$1000,$A14)</f>
        <v>0</v>
      </c>
    </row>
    <row r="18" spans="1:7" ht="16.149999999999999" customHeight="1">
      <c r="A18" s="1" t="s">
        <v>26</v>
      </c>
    </row>
    <row r="19" spans="1:7" ht="15" customHeight="1">
      <c r="A19" s="4" t="s">
        <v>3</v>
      </c>
      <c r="B19" s="4" t="s">
        <v>10</v>
      </c>
      <c r="C19" s="4" t="s">
        <v>11</v>
      </c>
    </row>
    <row r="20" spans="1:7" ht="15" customHeight="1">
      <c r="A20" s="3">
        <v>100</v>
      </c>
      <c r="B20" s="5">
        <f>SUMIFS(RawData!$E$2:$E$1000,RawData!$A$2:$A$1000,"W2",RawData!$B$2:$B$1000,"-",RawData!$C$2:$C$1000,"DynamicArray",RawData!$D$2:$D$1000,$A20)</f>
        <v>0.65549999999999997</v>
      </c>
      <c r="C20" s="5">
        <f>SUMIFS(RawData!$E$2:$E$1000,RawData!$A$2:$A$1000,"W2",RawData!$B$2:$B$1000,"-",RawData!$C$2:$C$1000,"LinkedList",RawData!$D$2:$D$1000,$A20)</f>
        <v>1.7762</v>
      </c>
    </row>
    <row r="21" spans="1:7" ht="15" customHeight="1">
      <c r="A21" s="3">
        <v>1000</v>
      </c>
      <c r="B21" s="5">
        <f>SUMIFS(RawData!$E$2:$E$1000,RawData!$A$2:$A$1000,"W2",RawData!$B$2:$B$1000,"-",RawData!$C$2:$C$1000,"DynamicArray",RawData!$D$2:$D$1000,$A21)</f>
        <v>0.24529999999999999</v>
      </c>
      <c r="C21" s="5">
        <f>SUMIFS(RawData!$E$2:$E$1000,RawData!$A$2:$A$1000,"W2",RawData!$B$2:$B$1000,"-",RawData!$C$2:$C$1000,"LinkedList",RawData!$D$2:$D$1000,$A21)</f>
        <v>1.1193</v>
      </c>
    </row>
    <row r="22" spans="1:7" ht="15" customHeight="1">
      <c r="A22" s="3">
        <v>10000</v>
      </c>
      <c r="B22" s="5">
        <f>SUMIFS(RawData!$E$2:$E$1000,RawData!$A$2:$A$1000,"W2",RawData!$B$2:$B$1000,"-",RawData!$C$2:$C$1000,"DynamicArray",RawData!$D$2:$D$1000,$A22)</f>
        <v>2.1791999999999998</v>
      </c>
      <c r="C22" s="5">
        <f>SUMIFS(RawData!$E$2:$E$1000,RawData!$A$2:$A$1000,"W2",RawData!$B$2:$B$1000,"-",RawData!$C$2:$C$1000,"LinkedList",RawData!$D$2:$D$1000,$A22)</f>
        <v>12.1647</v>
      </c>
    </row>
    <row r="23" spans="1:7" ht="15" customHeight="1">
      <c r="A23" s="3">
        <v>100000</v>
      </c>
      <c r="B23" s="5">
        <f>SUMIFS(RawData!$E$2:$E$1000,RawData!$A$2:$A$1000,"W2",RawData!$B$2:$B$1000,"-",RawData!$C$2:$C$1000,"DynamicArray",RawData!$D$2:$D$1000,$A23)</f>
        <v>22.34</v>
      </c>
      <c r="C23" s="5">
        <f>SUMIFS(RawData!$E$2:$E$1000,RawData!$A$2:$A$1000,"W2",RawData!$B$2:$B$1000,"-",RawData!$C$2:$C$1000,"LinkedList",RawData!$D$2:$D$1000,$A23)</f>
        <v>167.3</v>
      </c>
    </row>
    <row r="26" spans="1:7" ht="16.149999999999999" customHeight="1">
      <c r="A26" s="1" t="s">
        <v>27</v>
      </c>
    </row>
    <row r="27" spans="1:7" ht="60" customHeight="1">
      <c r="A27" s="4" t="s">
        <v>3</v>
      </c>
      <c r="B27" s="6" t="s">
        <v>20</v>
      </c>
      <c r="C27" s="6" t="s">
        <v>21</v>
      </c>
      <c r="D27" s="6" t="s">
        <v>22</v>
      </c>
      <c r="E27" s="6" t="s">
        <v>23</v>
      </c>
      <c r="F27" s="6" t="s">
        <v>24</v>
      </c>
      <c r="G27" s="6" t="s">
        <v>25</v>
      </c>
    </row>
    <row r="28" spans="1:7" ht="15" customHeight="1">
      <c r="A28" s="3">
        <v>100</v>
      </c>
      <c r="B28" s="7">
        <f>SUMIFS(RawData!$F$2:$F$1000,RawData!$A$2:$A$1000,"W2",RawData!$B$2:$B$1000,"-",RawData!$C$2:$C$1000,"DynamicArray",RawData!$D$2:$D$1000,$A28)</f>
        <v>150476</v>
      </c>
      <c r="C28" s="7">
        <f>SUMIFS(RawData!$G$2:$G$1000,RawData!$A$2:$A$1000,"W2",RawData!$B$2:$B$1000,"-",RawData!$C$2:$C$1000,"DynamicArray",RawData!$D$2:$D$1000,$A28)</f>
        <v>0</v>
      </c>
      <c r="D28" s="7">
        <f>SUMIFS(RawData!$H$2:$H$1000,RawData!$A$2:$A$1000,"W2",RawData!$B$2:$B$1000,"-",RawData!$C$2:$C$1000,"DynamicArray",RawData!$D$2:$D$1000,$A28)</f>
        <v>150476</v>
      </c>
      <c r="E28" s="7">
        <f>SUMIFS(RawData!$F$2:$F$1000,RawData!$A$2:$A$1000,"W2",RawData!$B$2:$B$1000,"-",RawData!$C$2:$C$1000,"LinkedList",RawData!$D$2:$D$1000,$A28)</f>
        <v>150476</v>
      </c>
      <c r="F28" s="7">
        <f>SUMIFS(RawData!$G$2:$G$1000,RawData!$A$2:$A$1000,"W2",RawData!$B$2:$B$1000,"-",RawData!$C$2:$C$1000,"LinkedList",RawData!$D$2:$D$1000,$A28)</f>
        <v>0</v>
      </c>
      <c r="G28" s="7">
        <f>SUMIFS(RawData!$H$2:$H$1000,RawData!$A$2:$A$1000,"W2",RawData!$B$2:$B$1000,"-",RawData!$C$2:$C$1000,"LinkedList",RawData!$D$2:$D$1000,$A28)</f>
        <v>150476</v>
      </c>
    </row>
    <row r="29" spans="1:7" ht="15" customHeight="1">
      <c r="A29" s="3">
        <v>1000</v>
      </c>
      <c r="B29" s="7">
        <f>SUMIFS(RawData!$F$2:$F$1000,RawData!$A$2:$A$1000,"W2",RawData!$B$2:$B$1000,"-",RawData!$C$2:$C$1000,"DynamicArray",RawData!$D$2:$D$1000,$A29)</f>
        <v>757638</v>
      </c>
      <c r="C29" s="7">
        <f>SUMIFS(RawData!$G$2:$G$1000,RawData!$A$2:$A$1000,"W2",RawData!$B$2:$B$1000,"-",RawData!$C$2:$C$1000,"DynamicArray",RawData!$D$2:$D$1000,$A29)</f>
        <v>0</v>
      </c>
      <c r="D29" s="7">
        <f>SUMIFS(RawData!$H$2:$H$1000,RawData!$A$2:$A$1000,"W2",RawData!$B$2:$B$1000,"-",RawData!$C$2:$C$1000,"DynamicArray",RawData!$D$2:$D$1000,$A29)</f>
        <v>757638</v>
      </c>
      <c r="E29" s="7">
        <f>SUMIFS(RawData!$F$2:$F$1000,RawData!$A$2:$A$1000,"W2",RawData!$B$2:$B$1000,"-",RawData!$C$2:$C$1000,"LinkedList",RawData!$D$2:$D$1000,$A29)</f>
        <v>757638</v>
      </c>
      <c r="F29" s="7">
        <f>SUMIFS(RawData!$G$2:$G$1000,RawData!$A$2:$A$1000,"W2",RawData!$B$2:$B$1000,"-",RawData!$C$2:$C$1000,"LinkedList",RawData!$D$2:$D$1000,$A29)</f>
        <v>0</v>
      </c>
      <c r="G29" s="7">
        <f>SUMIFS(RawData!$H$2:$H$1000,RawData!$A$2:$A$1000,"W2",RawData!$B$2:$B$1000,"-",RawData!$C$2:$C$1000,"LinkedList",RawData!$D$2:$D$1000,$A29)</f>
        <v>757638</v>
      </c>
    </row>
    <row r="30" spans="1:7" ht="15" customHeight="1">
      <c r="A30" s="3">
        <v>10000</v>
      </c>
      <c r="B30" s="7">
        <f>SUMIFS(RawData!$F$2:$F$1000,RawData!$A$2:$A$1000,"W2",RawData!$B$2:$B$1000,"-",RawData!$C$2:$C$1000,"DynamicArray",RawData!$D$2:$D$1000,$A30)</f>
        <v>7489792</v>
      </c>
      <c r="C30" s="7">
        <f>SUMIFS(RawData!$G$2:$G$1000,RawData!$A$2:$A$1000,"W2",RawData!$B$2:$B$1000,"-",RawData!$C$2:$C$1000,"DynamicArray",RawData!$D$2:$D$1000,$A30)</f>
        <v>0</v>
      </c>
      <c r="D30" s="7">
        <f>SUMIFS(RawData!$H$2:$H$1000,RawData!$A$2:$A$1000,"W2",RawData!$B$2:$B$1000,"-",RawData!$C$2:$C$1000,"DynamicArray",RawData!$D$2:$D$1000,$A30)</f>
        <v>7489792</v>
      </c>
      <c r="E30" s="7">
        <f>SUMIFS(RawData!$F$2:$F$1000,RawData!$A$2:$A$1000,"W2",RawData!$B$2:$B$1000,"-",RawData!$C$2:$C$1000,"LinkedList",RawData!$D$2:$D$1000,$A30)</f>
        <v>7489792</v>
      </c>
      <c r="F30" s="7">
        <f>SUMIFS(RawData!$G$2:$G$1000,RawData!$A$2:$A$1000,"W2",RawData!$B$2:$B$1000,"-",RawData!$C$2:$C$1000,"LinkedList",RawData!$D$2:$D$1000,$A30)</f>
        <v>0</v>
      </c>
      <c r="G30" s="7">
        <f>SUMIFS(RawData!$H$2:$H$1000,RawData!$A$2:$A$1000,"W2",RawData!$B$2:$B$1000,"-",RawData!$C$2:$C$1000,"LinkedList",RawData!$D$2:$D$1000,$A30)</f>
        <v>7489792</v>
      </c>
    </row>
    <row r="31" spans="1:7" ht="15" customHeight="1">
      <c r="A31" s="3">
        <v>100000</v>
      </c>
      <c r="B31" s="7">
        <f>SUMIFS(RawData!$F$2:$F$1000,RawData!$A$2:$A$1000,"W2",RawData!$B$2:$B$1000,"-",RawData!$C$2:$C$1000,"DynamicArray",RawData!$D$2:$D$1000,$A31)</f>
        <v>74253877</v>
      </c>
      <c r="C31" s="7">
        <f>SUMIFS(RawData!$G$2:$G$1000,RawData!$A$2:$A$1000,"W2",RawData!$B$2:$B$1000,"-",RawData!$C$2:$C$1000,"DynamicArray",RawData!$D$2:$D$1000,$A31)</f>
        <v>0</v>
      </c>
      <c r="D31" s="7">
        <f>SUMIFS(RawData!$H$2:$H$1000,RawData!$A$2:$A$1000,"W2",RawData!$B$2:$B$1000,"-",RawData!$C$2:$C$1000,"DynamicArray",RawData!$D$2:$D$1000,$A31)</f>
        <v>74253877</v>
      </c>
      <c r="E31" s="7">
        <f>SUMIFS(RawData!$F$2:$F$1000,RawData!$A$2:$A$1000,"W2",RawData!$B$2:$B$1000,"-",RawData!$C$2:$C$1000,"LinkedList",RawData!$D$2:$D$1000,$A31)</f>
        <v>74253877</v>
      </c>
      <c r="F31" s="7">
        <f>SUMIFS(RawData!$G$2:$G$1000,RawData!$A$2:$A$1000,"W2",RawData!$B$2:$B$1000,"-",RawData!$C$2:$C$1000,"LinkedList",RawData!$D$2:$D$1000,$A31)</f>
        <v>0</v>
      </c>
      <c r="G31" s="7">
        <f>SUMIFS(RawData!$H$2:$H$1000,RawData!$A$2:$A$1000,"W2",RawData!$B$2:$B$1000,"-",RawData!$C$2:$C$1000,"LinkedList",RawData!$D$2:$D$1000,$A31)</f>
        <v>74253877</v>
      </c>
    </row>
    <row r="35" spans="1:7" ht="16.149999999999999" customHeight="1">
      <c r="A35" s="1" t="s">
        <v>28</v>
      </c>
    </row>
    <row r="36" spans="1:7" ht="15" customHeight="1">
      <c r="A36" s="4" t="s">
        <v>3</v>
      </c>
      <c r="B36" s="4" t="s">
        <v>10</v>
      </c>
      <c r="C36" s="4" t="s">
        <v>11</v>
      </c>
    </row>
    <row r="37" spans="1:7" ht="15" customHeight="1">
      <c r="A37" s="3">
        <v>100</v>
      </c>
      <c r="B37" s="5">
        <f>SUMIFS(RawData!$E$2:$E$1000,RawData!$A$2:$A$1000,"W3",RawData!$B$2:$B$1000,"head",RawData!$C$2:$C$1000,"DynamicArray",RawData!$D$2:$D$1000,$A37)</f>
        <v>3.7067000000000001</v>
      </c>
      <c r="C37" s="5">
        <f>SUMIFS(RawData!$E$2:$E$1000,RawData!$A$2:$A$1000,"W3",RawData!$B$2:$B$1000,"head",RawData!$C$2:$C$1000,"LinkedList",RawData!$D$2:$D$1000,$A37)</f>
        <v>0.1133</v>
      </c>
    </row>
    <row r="38" spans="1:7" ht="15" customHeight="1">
      <c r="A38" s="3">
        <v>1000</v>
      </c>
      <c r="B38" s="5">
        <f>SUMIFS(RawData!$E$2:$E$1000,RawData!$A$2:$A$1000,"W3",RawData!$B$2:$B$1000,"head",RawData!$C$2:$C$1000,"DynamicArray",RawData!$D$2:$D$1000,$A38)</f>
        <v>0.1724</v>
      </c>
      <c r="C38" s="5">
        <f>SUMIFS(RawData!$E$2:$E$1000,RawData!$A$2:$A$1000,"W3",RawData!$B$2:$B$1000,"head",RawData!$C$2:$C$1000,"LinkedList",RawData!$D$2:$D$1000,$A38)</f>
        <v>2.5899999999999999E-2</v>
      </c>
    </row>
    <row r="39" spans="1:7" ht="15" customHeight="1">
      <c r="A39" s="3">
        <v>10000</v>
      </c>
      <c r="B39" s="5">
        <f>SUMIFS(RawData!$E$2:$E$1000,RawData!$A$2:$A$1000,"W3",RawData!$B$2:$B$1000,"head",RawData!$C$2:$C$1000,"DynamicArray",RawData!$D$2:$D$1000,$A39)</f>
        <v>0.8478</v>
      </c>
      <c r="C39" s="5">
        <f>SUMIFS(RawData!$E$2:$E$1000,RawData!$A$2:$A$1000,"W3",RawData!$B$2:$B$1000,"head",RawData!$C$2:$C$1000,"LinkedList",RawData!$D$2:$D$1000,$A39)</f>
        <v>3.95E-2</v>
      </c>
    </row>
    <row r="40" spans="1:7" ht="15" customHeight="1">
      <c r="A40" s="3">
        <v>100000</v>
      </c>
      <c r="B40" s="5">
        <f>SUMIFS(RawData!$E$2:$E$1000,RawData!$A$2:$A$1000,"W3",RawData!$B$2:$B$1000,"head",RawData!$C$2:$C$1000,"DynamicArray",RawData!$D$2:$D$1000,$A40)</f>
        <v>11.1044</v>
      </c>
      <c r="C40" s="5">
        <f>SUMIFS(RawData!$E$2:$E$1000,RawData!$A$2:$A$1000,"W3",RawData!$B$2:$B$1000,"head",RawData!$C$2:$C$1000,"LinkedList",RawData!$D$2:$D$1000,$A40)</f>
        <v>4.6300000000000001E-2</v>
      </c>
    </row>
    <row r="43" spans="1:7" ht="16.149999999999999" customHeight="1">
      <c r="A43" s="1" t="s">
        <v>29</v>
      </c>
    </row>
    <row r="44" spans="1:7" ht="60" customHeight="1">
      <c r="A44" s="4" t="s">
        <v>3</v>
      </c>
      <c r="B44" s="6" t="s">
        <v>20</v>
      </c>
      <c r="C44" s="6" t="s">
        <v>21</v>
      </c>
      <c r="D44" s="6" t="s">
        <v>22</v>
      </c>
      <c r="E44" s="6" t="s">
        <v>23</v>
      </c>
      <c r="F44" s="6" t="s">
        <v>24</v>
      </c>
      <c r="G44" s="6" t="s">
        <v>25</v>
      </c>
    </row>
    <row r="45" spans="1:7" ht="15" customHeight="1">
      <c r="A45" s="3">
        <v>100</v>
      </c>
      <c r="B45" s="7">
        <f>SUMIFS(RawData!$F$2:$F$1000,RawData!$A$2:$A$1000,"W3",RawData!$B$2:$B$1000,"head",RawData!$C$2:$C$1000,"DynamicArray",RawData!$D$2:$D$1000,$A45)</f>
        <v>1000</v>
      </c>
      <c r="C45" s="7">
        <f>SUMIFS(RawData!$G$2:$G$1000,RawData!$A$2:$A$1000,"W3",RawData!$B$2:$B$1000,"head",RawData!$C$2:$C$1000,"DynamicArray",RawData!$D$2:$D$1000,$A45)</f>
        <v>1201920</v>
      </c>
      <c r="D45" s="7">
        <f>SUMIFS(RawData!$H$2:$H$1000,RawData!$A$2:$A$1000,"W3",RawData!$B$2:$B$1000,"head",RawData!$C$2:$C$1000,"DynamicArray",RawData!$D$2:$D$1000,$A45)</f>
        <v>0</v>
      </c>
      <c r="E45" s="7">
        <f>SUMIFS(RawData!$F$2:$F$1000,RawData!$A$2:$A$1000,"W3",RawData!$B$2:$B$1000,"head",RawData!$C$2:$C$1000,"LinkedList",RawData!$D$2:$D$1000,$A45)</f>
        <v>0</v>
      </c>
      <c r="F45" s="7">
        <f>SUMIFS(RawData!$G$2:$G$1000,RawData!$A$2:$A$1000,"W3",RawData!$B$2:$B$1000,"head",RawData!$C$2:$C$1000,"LinkedList",RawData!$D$2:$D$1000,$A45)</f>
        <v>2000</v>
      </c>
      <c r="G45" s="7">
        <f>SUMIFS(RawData!$H$2:$H$1000,RawData!$A$2:$A$1000,"W3",RawData!$B$2:$B$1000,"head",RawData!$C$2:$C$1000,"LinkedList",RawData!$D$2:$D$1000,$A45)</f>
        <v>0</v>
      </c>
    </row>
    <row r="46" spans="1:7" ht="15" customHeight="1">
      <c r="A46" s="3">
        <v>1000</v>
      </c>
      <c r="B46" s="7">
        <f>SUMIFS(RawData!$F$2:$F$1000,RawData!$A$2:$A$1000,"W3",RawData!$B$2:$B$1000,"head",RawData!$C$2:$C$1000,"DynamicArray",RawData!$D$2:$D$1000,$A46)</f>
        <v>1000</v>
      </c>
      <c r="C46" s="7">
        <f>SUMIFS(RawData!$G$2:$G$1000,RawData!$A$2:$A$1000,"W3",RawData!$B$2:$B$1000,"head",RawData!$C$2:$C$1000,"DynamicArray",RawData!$D$2:$D$1000,$A46)</f>
        <v>3001024</v>
      </c>
      <c r="D46" s="7">
        <f>SUMIFS(RawData!$H$2:$H$1000,RawData!$A$2:$A$1000,"W3",RawData!$B$2:$B$1000,"head",RawData!$C$2:$C$1000,"DynamicArray",RawData!$D$2:$D$1000,$A46)</f>
        <v>0</v>
      </c>
      <c r="E46" s="7">
        <f>SUMIFS(RawData!$F$2:$F$1000,RawData!$A$2:$A$1000,"W3",RawData!$B$2:$B$1000,"head",RawData!$C$2:$C$1000,"LinkedList",RawData!$D$2:$D$1000,$A46)</f>
        <v>0</v>
      </c>
      <c r="F46" s="7">
        <f>SUMIFS(RawData!$G$2:$G$1000,RawData!$A$2:$A$1000,"W3",RawData!$B$2:$B$1000,"head",RawData!$C$2:$C$1000,"LinkedList",RawData!$D$2:$D$1000,$A46)</f>
        <v>2000</v>
      </c>
      <c r="G46" s="7">
        <f>SUMIFS(RawData!$H$2:$H$1000,RawData!$A$2:$A$1000,"W3",RawData!$B$2:$B$1000,"head",RawData!$C$2:$C$1000,"LinkedList",RawData!$D$2:$D$1000,$A46)</f>
        <v>0</v>
      </c>
    </row>
    <row r="47" spans="1:7" ht="15" customHeight="1">
      <c r="A47" s="3">
        <v>10000</v>
      </c>
      <c r="B47" s="7">
        <f>SUMIFS(RawData!$F$2:$F$1000,RawData!$A$2:$A$1000,"W3",RawData!$B$2:$B$1000,"head",RawData!$C$2:$C$1000,"DynamicArray",RawData!$D$2:$D$1000,$A47)</f>
        <v>1000</v>
      </c>
      <c r="C47" s="7">
        <f>SUMIFS(RawData!$G$2:$G$1000,RawData!$A$2:$A$1000,"W3",RawData!$B$2:$B$1000,"head",RawData!$C$2:$C$1000,"DynamicArray",RawData!$D$2:$D$1000,$A47)</f>
        <v>21000000</v>
      </c>
      <c r="D47" s="7">
        <f>SUMIFS(RawData!$H$2:$H$1000,RawData!$A$2:$A$1000,"W3",RawData!$B$2:$B$1000,"head",RawData!$C$2:$C$1000,"DynamicArray",RawData!$D$2:$D$1000,$A47)</f>
        <v>0</v>
      </c>
      <c r="E47" s="7">
        <f>SUMIFS(RawData!$F$2:$F$1000,RawData!$A$2:$A$1000,"W3",RawData!$B$2:$B$1000,"head",RawData!$C$2:$C$1000,"LinkedList",RawData!$D$2:$D$1000,$A47)</f>
        <v>0</v>
      </c>
      <c r="F47" s="7">
        <f>SUMIFS(RawData!$G$2:$G$1000,RawData!$A$2:$A$1000,"W3",RawData!$B$2:$B$1000,"head",RawData!$C$2:$C$1000,"LinkedList",RawData!$D$2:$D$1000,$A47)</f>
        <v>2000</v>
      </c>
      <c r="G47" s="7">
        <f>SUMIFS(RawData!$H$2:$H$1000,RawData!$A$2:$A$1000,"W3",RawData!$B$2:$B$1000,"head",RawData!$C$2:$C$1000,"LinkedList",RawData!$D$2:$D$1000,$A47)</f>
        <v>0</v>
      </c>
    </row>
    <row r="48" spans="1:7" ht="15" customHeight="1">
      <c r="A48" s="3">
        <v>100000</v>
      </c>
      <c r="B48" s="7">
        <f>SUMIFS(RawData!$F$2:$F$1000,RawData!$A$2:$A$1000,"W3",RawData!$B$2:$B$1000,"head",RawData!$C$2:$C$1000,"DynamicArray",RawData!$D$2:$D$1000,$A48)</f>
        <v>1000</v>
      </c>
      <c r="C48" s="7">
        <f>SUMIFS(RawData!$G$2:$G$1000,RawData!$A$2:$A$1000,"W3",RawData!$B$2:$B$1000,"head",RawData!$C$2:$C$1000,"DynamicArray",RawData!$D$2:$D$1000,$A48)</f>
        <v>201000000</v>
      </c>
      <c r="D48" s="7">
        <f>SUMIFS(RawData!$H$2:$H$1000,RawData!$A$2:$A$1000,"W3",RawData!$B$2:$B$1000,"head",RawData!$C$2:$C$1000,"DynamicArray",RawData!$D$2:$D$1000,$A48)</f>
        <v>0</v>
      </c>
      <c r="E48" s="7">
        <f>SUMIFS(RawData!$F$2:$F$1000,RawData!$A$2:$A$1000,"W3",RawData!$B$2:$B$1000,"head",RawData!$C$2:$C$1000,"LinkedList",RawData!$D$2:$D$1000,$A48)</f>
        <v>0</v>
      </c>
      <c r="F48" s="7">
        <f>SUMIFS(RawData!$G$2:$G$1000,RawData!$A$2:$A$1000,"W3",RawData!$B$2:$B$1000,"head",RawData!$C$2:$C$1000,"LinkedList",RawData!$D$2:$D$1000,$A48)</f>
        <v>2000</v>
      </c>
      <c r="G48" s="7">
        <f>SUMIFS(RawData!$H$2:$H$1000,RawData!$A$2:$A$1000,"W3",RawData!$B$2:$B$1000,"head",RawData!$C$2:$C$1000,"LinkedList",RawData!$D$2:$D$1000,$A48)</f>
        <v>0</v>
      </c>
    </row>
    <row r="52" spans="1:7" ht="16.149999999999999" customHeight="1">
      <c r="A52" s="1" t="s">
        <v>30</v>
      </c>
    </row>
    <row r="53" spans="1:7" ht="15" customHeight="1">
      <c r="A53" s="4" t="s">
        <v>3</v>
      </c>
      <c r="B53" s="4" t="s">
        <v>10</v>
      </c>
      <c r="C53" s="4" t="s">
        <v>11</v>
      </c>
    </row>
    <row r="54" spans="1:7" ht="15" customHeight="1">
      <c r="A54" s="3">
        <v>100</v>
      </c>
      <c r="B54" s="5">
        <f>SUMIFS(RawData!$E$2:$E$1000,RawData!$A$2:$A$1000,"W3",RawData!$B$2:$B$1000,"middle",RawData!$C$2:$C$1000,"DynamicArray",RawData!$D$2:$D$1000,$A54)</f>
        <v>0.1148</v>
      </c>
      <c r="C54" s="5">
        <f>SUMIFS(RawData!$E$2:$E$1000,RawData!$A$2:$A$1000,"W3",RawData!$B$2:$B$1000,"middle",RawData!$C$2:$C$1000,"LinkedList",RawData!$D$2:$D$1000,$A54)</f>
        <v>0.15379999999999999</v>
      </c>
    </row>
    <row r="55" spans="1:7" ht="15" customHeight="1">
      <c r="A55" s="3">
        <v>1000</v>
      </c>
      <c r="B55" s="5">
        <f>SUMIFS(RawData!$E$2:$E$1000,RawData!$A$2:$A$1000,"W3",RawData!$B$2:$B$1000,"middle",RawData!$C$2:$C$1000,"DynamicArray",RawData!$D$2:$D$1000,$A55)</f>
        <v>0.1288</v>
      </c>
      <c r="C55" s="5">
        <f>SUMIFS(RawData!$E$2:$E$1000,RawData!$A$2:$A$1000,"W3",RawData!$B$2:$B$1000,"middle",RawData!$C$2:$C$1000,"LinkedList",RawData!$D$2:$D$1000,$A55)</f>
        <v>1.1145</v>
      </c>
    </row>
    <row r="56" spans="1:7" ht="15" customHeight="1">
      <c r="A56" s="3">
        <v>10000</v>
      </c>
      <c r="B56" s="5">
        <f>SUMIFS(RawData!$E$2:$E$1000,RawData!$A$2:$A$1000,"W3",RawData!$B$2:$B$1000,"middle",RawData!$C$2:$C$1000,"DynamicArray",RawData!$D$2:$D$1000,$A56)</f>
        <v>0.45989999999999998</v>
      </c>
      <c r="C56" s="5">
        <f>SUMIFS(RawData!$E$2:$E$1000,RawData!$A$2:$A$1000,"W3",RawData!$B$2:$B$1000,"middle",RawData!$C$2:$C$1000,"LinkedList",RawData!$D$2:$D$1000,$A56)</f>
        <v>11.4701</v>
      </c>
    </row>
    <row r="57" spans="1:7" ht="15" customHeight="1">
      <c r="A57" s="3">
        <v>100000</v>
      </c>
      <c r="B57" s="5">
        <f>SUMIFS(RawData!$E$2:$E$1000,RawData!$A$2:$A$1000,"W3",RawData!$B$2:$B$1000,"middle",RawData!$C$2:$C$1000,"DynamicArray",RawData!$D$2:$D$1000,$A57)</f>
        <v>5.5598999999999998</v>
      </c>
      <c r="C57" s="5">
        <f>SUMIFS(RawData!$E$2:$E$1000,RawData!$A$2:$A$1000,"W3",RawData!$B$2:$B$1000,"middle",RawData!$C$2:$C$1000,"LinkedList",RawData!$D$2:$D$1000,$A57)</f>
        <v>141.5581</v>
      </c>
    </row>
    <row r="60" spans="1:7" ht="16.149999999999999" customHeight="1">
      <c r="A60" s="1" t="s">
        <v>31</v>
      </c>
    </row>
    <row r="61" spans="1:7" ht="60" customHeight="1">
      <c r="A61" s="4" t="s">
        <v>3</v>
      </c>
      <c r="B61" s="6" t="s">
        <v>20</v>
      </c>
      <c r="C61" s="6" t="s">
        <v>21</v>
      </c>
      <c r="D61" s="6" t="s">
        <v>22</v>
      </c>
      <c r="E61" s="6" t="s">
        <v>23</v>
      </c>
      <c r="F61" s="6" t="s">
        <v>24</v>
      </c>
      <c r="G61" s="6" t="s">
        <v>25</v>
      </c>
    </row>
    <row r="62" spans="1:7" ht="15" customHeight="1">
      <c r="A62" s="3">
        <v>100</v>
      </c>
      <c r="B62" s="7">
        <f>SUMIFS(RawData!$F$2:$F$1000,RawData!$A$2:$A$1000,"W3",RawData!$B$2:$B$1000,"middle",RawData!$C$2:$C$1000,"DynamicArray",RawData!$D$2:$D$1000,$A62)</f>
        <v>1000</v>
      </c>
      <c r="C62" s="7">
        <f>SUMIFS(RawData!$G$2:$G$1000,RawData!$A$2:$A$1000,"W3",RawData!$B$2:$B$1000,"middle",RawData!$C$2:$C$1000,"DynamicArray",RawData!$D$2:$D$1000,$A62)</f>
        <v>1101920</v>
      </c>
      <c r="D62" s="7">
        <f>SUMIFS(RawData!$H$2:$H$1000,RawData!$A$2:$A$1000,"W3",RawData!$B$2:$B$1000,"middle",RawData!$C$2:$C$1000,"DynamicArray",RawData!$D$2:$D$1000,$A62)</f>
        <v>0</v>
      </c>
      <c r="E62" s="7">
        <f>SUMIFS(RawData!$F$2:$F$1000,RawData!$A$2:$A$1000,"W3",RawData!$B$2:$B$1000,"middle",RawData!$C$2:$C$1000,"LinkedList",RawData!$D$2:$D$1000,$A62)</f>
        <v>100000</v>
      </c>
      <c r="F62" s="7">
        <f>SUMIFS(RawData!$G$2:$G$1000,RawData!$A$2:$A$1000,"W3",RawData!$B$2:$B$1000,"middle",RawData!$C$2:$C$1000,"LinkedList",RawData!$D$2:$D$1000,$A62)</f>
        <v>3000</v>
      </c>
      <c r="G62" s="7">
        <f>SUMIFS(RawData!$H$2:$H$1000,RawData!$A$2:$A$1000,"W3",RawData!$B$2:$B$1000,"middle",RawData!$C$2:$C$1000,"LinkedList",RawData!$D$2:$D$1000,$A62)</f>
        <v>0</v>
      </c>
    </row>
    <row r="63" spans="1:7" ht="15" customHeight="1">
      <c r="A63" s="3">
        <v>1000</v>
      </c>
      <c r="B63" s="7">
        <f>SUMIFS(RawData!$F$2:$F$1000,RawData!$A$2:$A$1000,"W3",RawData!$B$2:$B$1000,"middle",RawData!$C$2:$C$1000,"DynamicArray",RawData!$D$2:$D$1000,$A63)</f>
        <v>1000</v>
      </c>
      <c r="C63" s="7">
        <f>SUMIFS(RawData!$G$2:$G$1000,RawData!$A$2:$A$1000,"W3",RawData!$B$2:$B$1000,"middle",RawData!$C$2:$C$1000,"DynamicArray",RawData!$D$2:$D$1000,$A63)</f>
        <v>2001024</v>
      </c>
      <c r="D63" s="7">
        <f>SUMIFS(RawData!$H$2:$H$1000,RawData!$A$2:$A$1000,"W3",RawData!$B$2:$B$1000,"middle",RawData!$C$2:$C$1000,"DynamicArray",RawData!$D$2:$D$1000,$A63)</f>
        <v>0</v>
      </c>
      <c r="E63" s="7">
        <f>SUMIFS(RawData!$F$2:$F$1000,RawData!$A$2:$A$1000,"W3",RawData!$B$2:$B$1000,"middle",RawData!$C$2:$C$1000,"LinkedList",RawData!$D$2:$D$1000,$A63)</f>
        <v>1000000</v>
      </c>
      <c r="F63" s="7">
        <f>SUMIFS(RawData!$G$2:$G$1000,RawData!$A$2:$A$1000,"W3",RawData!$B$2:$B$1000,"middle",RawData!$C$2:$C$1000,"LinkedList",RawData!$D$2:$D$1000,$A63)</f>
        <v>3000</v>
      </c>
      <c r="G63" s="7">
        <f>SUMIFS(RawData!$H$2:$H$1000,RawData!$A$2:$A$1000,"W3",RawData!$B$2:$B$1000,"middle",RawData!$C$2:$C$1000,"LinkedList",RawData!$D$2:$D$1000,$A63)</f>
        <v>0</v>
      </c>
    </row>
    <row r="64" spans="1:7" ht="15" customHeight="1">
      <c r="A64" s="3">
        <v>10000</v>
      </c>
      <c r="B64" s="7">
        <f>SUMIFS(RawData!$F$2:$F$1000,RawData!$A$2:$A$1000,"W3",RawData!$B$2:$B$1000,"middle",RawData!$C$2:$C$1000,"DynamicArray",RawData!$D$2:$D$1000,$A64)</f>
        <v>1000</v>
      </c>
      <c r="C64" s="7">
        <f>SUMIFS(RawData!$G$2:$G$1000,RawData!$A$2:$A$1000,"W3",RawData!$B$2:$B$1000,"middle",RawData!$C$2:$C$1000,"DynamicArray",RawData!$D$2:$D$1000,$A64)</f>
        <v>11000000</v>
      </c>
      <c r="D64" s="7">
        <f>SUMIFS(RawData!$H$2:$H$1000,RawData!$A$2:$A$1000,"W3",RawData!$B$2:$B$1000,"middle",RawData!$C$2:$C$1000,"DynamicArray",RawData!$D$2:$D$1000,$A64)</f>
        <v>0</v>
      </c>
      <c r="E64" s="7">
        <f>SUMIFS(RawData!$F$2:$F$1000,RawData!$A$2:$A$1000,"W3",RawData!$B$2:$B$1000,"middle",RawData!$C$2:$C$1000,"LinkedList",RawData!$D$2:$D$1000,$A64)</f>
        <v>10000000</v>
      </c>
      <c r="F64" s="7">
        <f>SUMIFS(RawData!$G$2:$G$1000,RawData!$A$2:$A$1000,"W3",RawData!$B$2:$B$1000,"middle",RawData!$C$2:$C$1000,"LinkedList",RawData!$D$2:$D$1000,$A64)</f>
        <v>3000</v>
      </c>
      <c r="G64" s="7">
        <f>SUMIFS(RawData!$H$2:$H$1000,RawData!$A$2:$A$1000,"W3",RawData!$B$2:$B$1000,"middle",RawData!$C$2:$C$1000,"LinkedList",RawData!$D$2:$D$1000,$A64)</f>
        <v>0</v>
      </c>
    </row>
    <row r="65" spans="1:7" ht="15" customHeight="1">
      <c r="A65" s="3">
        <v>100000</v>
      </c>
      <c r="B65" s="7">
        <f>SUMIFS(RawData!$F$2:$F$1000,RawData!$A$2:$A$1000,"W3",RawData!$B$2:$B$1000,"middle",RawData!$C$2:$C$1000,"DynamicArray",RawData!$D$2:$D$1000,$A65)</f>
        <v>1000</v>
      </c>
      <c r="C65" s="7">
        <f>SUMIFS(RawData!$G$2:$G$1000,RawData!$A$2:$A$1000,"W3",RawData!$B$2:$B$1000,"middle",RawData!$C$2:$C$1000,"DynamicArray",RawData!$D$2:$D$1000,$A65)</f>
        <v>101000000</v>
      </c>
      <c r="D65" s="7">
        <f>SUMIFS(RawData!$H$2:$H$1000,RawData!$A$2:$A$1000,"W3",RawData!$B$2:$B$1000,"middle",RawData!$C$2:$C$1000,"DynamicArray",RawData!$D$2:$D$1000,$A65)</f>
        <v>0</v>
      </c>
      <c r="E65" s="7">
        <f>SUMIFS(RawData!$F$2:$F$1000,RawData!$A$2:$A$1000,"W3",RawData!$B$2:$B$1000,"middle",RawData!$C$2:$C$1000,"LinkedList",RawData!$D$2:$D$1000,$A65)</f>
        <v>100000000</v>
      </c>
      <c r="F65" s="7">
        <f>SUMIFS(RawData!$G$2:$G$1000,RawData!$A$2:$A$1000,"W3",RawData!$B$2:$B$1000,"middle",RawData!$C$2:$C$1000,"LinkedList",RawData!$D$2:$D$1000,$A65)</f>
        <v>3000</v>
      </c>
      <c r="G65" s="7">
        <f>SUMIFS(RawData!$H$2:$H$1000,RawData!$A$2:$A$1000,"W3",RawData!$B$2:$B$1000,"middle",RawData!$C$2:$C$1000,"LinkedList",RawData!$D$2:$D$1000,$A65)</f>
        <v>0</v>
      </c>
    </row>
    <row r="69" spans="1:7" ht="16.149999999999999" customHeight="1">
      <c r="A69" s="1" t="s">
        <v>32</v>
      </c>
    </row>
    <row r="70" spans="1:7" ht="15" customHeight="1">
      <c r="A70" s="4" t="s">
        <v>3</v>
      </c>
      <c r="B70" s="4" t="s">
        <v>17</v>
      </c>
    </row>
    <row r="71" spans="1:7" ht="15" customHeight="1">
      <c r="A71" s="3">
        <v>100</v>
      </c>
      <c r="B71" s="5">
        <f>SUMIFS(RawData!$E$2:$E$1000,RawData!$A$2:$A$1000,"W4",RawData!$B$2:$B$1000,"-",RawData!$C$2:$C$1000,"MinHeap",RawData!$D$2:$D$1000,$A71)</f>
        <v>8.5000000000000006E-2</v>
      </c>
    </row>
    <row r="72" spans="1:7" ht="15" customHeight="1">
      <c r="A72" s="3">
        <v>1000</v>
      </c>
      <c r="B72" s="5">
        <f>SUMIFS(RawData!$E$2:$E$1000,RawData!$A$2:$A$1000,"W4",RawData!$B$2:$B$1000,"-",RawData!$C$2:$C$1000,"MinHeap",RawData!$D$2:$D$1000,$A72)</f>
        <v>0.27850000000000003</v>
      </c>
    </row>
    <row r="73" spans="1:7" ht="15" customHeight="1">
      <c r="A73" s="3">
        <v>10000</v>
      </c>
      <c r="B73" s="5">
        <f>SUMIFS(RawData!$E$2:$E$1000,RawData!$A$2:$A$1000,"W4",RawData!$B$2:$B$1000,"-",RawData!$C$2:$C$1000,"MinHeap",RawData!$D$2:$D$1000,$A73)</f>
        <v>0.99919999999999998</v>
      </c>
    </row>
    <row r="74" spans="1:7" ht="15" customHeight="1">
      <c r="A74" s="3">
        <v>100000</v>
      </c>
      <c r="B74" s="5">
        <f>SUMIFS(RawData!$E$2:$E$1000,RawData!$A$2:$A$1000,"W4",RawData!$B$2:$B$1000,"-",RawData!$C$2:$C$1000,"MinHeap",RawData!$D$2:$D$1000,$A74)</f>
        <v>9.5617999999999999</v>
      </c>
    </row>
    <row r="77" spans="1:7" ht="16.149999999999999" customHeight="1">
      <c r="A77" s="1" t="s">
        <v>33</v>
      </c>
    </row>
    <row r="78" spans="1:7" ht="60" customHeight="1">
      <c r="A78" s="4" t="s">
        <v>3</v>
      </c>
      <c r="B78" s="6" t="s">
        <v>34</v>
      </c>
      <c r="C78" s="6" t="s">
        <v>35</v>
      </c>
      <c r="D78" s="6" t="s">
        <v>36</v>
      </c>
    </row>
    <row r="79" spans="1:7" ht="15" customHeight="1">
      <c r="A79" s="3">
        <v>100</v>
      </c>
      <c r="B79" s="7">
        <f>SUMIFS(RawData!$F$2:$F$1000,RawData!$A$2:$A$1000,"W4",RawData!$B$2:$B$1000,"-",RawData!$C$2:$C$1000,"MinHeap",RawData!$D$2:$D$1000,$A79)</f>
        <v>2170</v>
      </c>
      <c r="C79" s="7">
        <f>SUMIFS(RawData!$G$2:$G$1000,RawData!$A$2:$A$1000,"W4",RawData!$B$2:$B$1000,"-",RawData!$C$2:$C$1000,"MinHeap",RawData!$D$2:$D$1000,$A79)</f>
        <v>1341</v>
      </c>
      <c r="D79" s="7">
        <f>SUMIFS(RawData!$H$2:$H$1000,RawData!$A$2:$A$1000,"W4",RawData!$B$2:$B$1000,"-",RawData!$C$2:$C$1000,"MinHeap",RawData!$D$2:$D$1000,$A79)</f>
        <v>1035</v>
      </c>
    </row>
    <row r="80" spans="1:7" ht="15" customHeight="1">
      <c r="A80" s="3">
        <v>1000</v>
      </c>
      <c r="B80" s="7">
        <f>SUMIFS(RawData!$F$2:$F$1000,RawData!$A$2:$A$1000,"W4",RawData!$B$2:$B$1000,"-",RawData!$C$2:$C$1000,"MinHeap",RawData!$D$2:$D$1000,$A80)</f>
        <v>35452</v>
      </c>
      <c r="C80" s="7">
        <f>SUMIFS(RawData!$G$2:$G$1000,RawData!$A$2:$A$1000,"W4",RawData!$B$2:$B$1000,"-",RawData!$C$2:$C$1000,"MinHeap",RawData!$D$2:$D$1000,$A80)</f>
        <v>20213</v>
      </c>
      <c r="D80" s="7">
        <f>SUMIFS(RawData!$H$2:$H$1000,RawData!$A$2:$A$1000,"W4",RawData!$B$2:$B$1000,"-",RawData!$C$2:$C$1000,"MinHeap",RawData!$D$2:$D$1000,$A80)</f>
        <v>17226</v>
      </c>
    </row>
    <row r="81" spans="1:4" ht="15" customHeight="1">
      <c r="A81" s="3">
        <v>10000</v>
      </c>
      <c r="B81" s="7">
        <f>SUMIFS(RawData!$F$2:$F$1000,RawData!$A$2:$A$1000,"W4",RawData!$B$2:$B$1000,"-",RawData!$C$2:$C$1000,"MinHeap",RawData!$D$2:$D$1000,$A81)</f>
        <v>488658</v>
      </c>
      <c r="C81" s="7">
        <f>SUMIFS(RawData!$G$2:$G$1000,RawData!$A$2:$A$1000,"W4",RawData!$B$2:$B$1000,"-",RawData!$C$2:$C$1000,"MinHeap",RawData!$D$2:$D$1000,$A81)</f>
        <v>275475</v>
      </c>
      <c r="D81" s="7">
        <f>SUMIFS(RawData!$H$2:$H$1000,RawData!$A$2:$A$1000,"W4",RawData!$B$2:$B$1000,"-",RawData!$C$2:$C$1000,"MinHeap",RawData!$D$2:$D$1000,$A81)</f>
        <v>239329</v>
      </c>
    </row>
    <row r="82" spans="1:4" ht="15" customHeight="1">
      <c r="A82" s="3">
        <v>100000</v>
      </c>
      <c r="B82" s="7">
        <f>SUMIFS(RawData!$F$2:$F$1000,RawData!$A$2:$A$1000,"W4",RawData!$B$2:$B$1000,"-",RawData!$C$2:$C$1000,"MinHeap",RawData!$D$2:$D$1000,$A82)</f>
        <v>6218250</v>
      </c>
      <c r="C82" s="7">
        <f>SUMIFS(RawData!$G$2:$G$1000,RawData!$A$2:$A$1000,"W4",RawData!$B$2:$B$1000,"-",RawData!$C$2:$C$1000,"MinHeap",RawData!$D$2:$D$1000,$A82)</f>
        <v>3387427</v>
      </c>
      <c r="D82" s="7">
        <f>SUMIFS(RawData!$H$2:$H$1000,RawData!$A$2:$A$1000,"W4",RawData!$B$2:$B$1000,"-",RawData!$C$2:$C$1000,"MinHeap",RawData!$D$2:$D$1000,$A82)</f>
        <v>3059125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"/>
  <sheetViews>
    <sheetView tabSelected="1"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"/>
  <sheetViews>
    <sheetView zoomScaleNormal="100" workbookViewId="0"/>
  </sheetViews>
  <sheetFormatPr defaultColWidth="8.7109375" defaultRowHeight="15"/>
  <sheetData/>
  <pageMargins left="0.2" right="0.2" top="0.2" bottom="0.2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2026-10-04T08:56:47Z</dcterms:created>
  <dcterms:modified xsi:type="dcterms:W3CDTF">2026-10-04T12:55:32Z</dcterms:modified>
  <cp:category/>
  <cp:contentStatus/>
</cp:coreProperties>
</file>